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erier/Documents/Dossier_Etudes/ETUDES/esilv_annee_4/vba/Projet/Versions du doc Excel/"/>
    </mc:Choice>
  </mc:AlternateContent>
  <xr:revisionPtr revIDLastSave="0" documentId="13_ncr:1_{24BD297C-305B-0B4A-88D7-E9261D5D6479}" xr6:coauthVersionLast="40" xr6:coauthVersionMax="40" xr10:uidLastSave="{00000000-0000-0000-0000-000000000000}"/>
  <bookViews>
    <workbookView xWindow="0" yWindow="460" windowWidth="38400" windowHeight="22480" activeTab="2" xr2:uid="{00000000-000D-0000-FFFF-FFFF00000000}"/>
  </bookViews>
  <sheets>
    <sheet name="ArcelorMittal" sheetId="1" r:id="rId1"/>
    <sheet name="Simple Perceptron" sheetId="2" r:id="rId2"/>
    <sheet name="Multi Perceptron" sheetId="3" r:id="rId3"/>
  </sheets>
  <functionGroups builtInGroupCount="19"/>
  <definedNames>
    <definedName name="solver_adj" localSheetId="0" hidden="1">ArcelorMittal!$S$7,ArcelorMittal!$S$9:$S$11,ArcelorMittal!$S$13:$S$14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ArcelorMittal!$S$17</definedName>
    <definedName name="solver_lhs2" localSheetId="0" hidden="1">ArcelorMittal!$S$17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opt" localSheetId="0" hidden="1">ArcelorMittal!$S$16</definedName>
    <definedName name="solver_pre" localSheetId="0" hidden="1">0.001</definedName>
    <definedName name="solver_rbv" localSheetId="0" hidden="1">1</definedName>
    <definedName name="solver_rel1" localSheetId="0" hidden="1">3</definedName>
    <definedName name="solver_rel2" localSheetId="0" hidden="1">1</definedName>
    <definedName name="solver_rhs1" localSheetId="0" hidden="1">0.9</definedName>
    <definedName name="solver_rhs2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4" i="1" l="1"/>
  <c r="N6" i="3"/>
  <c r="P11" i="2" l="1"/>
  <c r="N5" i="3" l="1"/>
  <c r="J2" i="3"/>
  <c r="P10" i="2" l="1"/>
  <c r="J3" i="1" l="1"/>
  <c r="O269" i="1" l="1"/>
  <c r="M5" i="1"/>
  <c r="J4" i="1" l="1"/>
  <c r="J5" i="1"/>
  <c r="J6" i="1"/>
  <c r="J7" i="1"/>
  <c r="J8" i="1"/>
  <c r="J9" i="1"/>
  <c r="K9" i="1" s="1"/>
  <c r="L9" i="1" s="1"/>
  <c r="J10" i="1"/>
  <c r="J11" i="1"/>
  <c r="J12" i="1"/>
  <c r="J13" i="1"/>
  <c r="K13" i="1" s="1"/>
  <c r="L13" i="1" s="1"/>
  <c r="J14" i="1"/>
  <c r="J15" i="1"/>
  <c r="J16" i="1"/>
  <c r="J17" i="1"/>
  <c r="K17" i="1" s="1"/>
  <c r="L17" i="1" s="1"/>
  <c r="J18" i="1"/>
  <c r="J19" i="1"/>
  <c r="J20" i="1"/>
  <c r="J21" i="1"/>
  <c r="K21" i="1" s="1"/>
  <c r="L21" i="1" s="1"/>
  <c r="J22" i="1"/>
  <c r="J23" i="1"/>
  <c r="J24" i="1"/>
  <c r="J25" i="1"/>
  <c r="K25" i="1" s="1"/>
  <c r="L25" i="1" s="1"/>
  <c r="J26" i="1"/>
  <c r="J27" i="1"/>
  <c r="J28" i="1"/>
  <c r="J29" i="1"/>
  <c r="K29" i="1" s="1"/>
  <c r="L29" i="1" s="1"/>
  <c r="J30" i="1"/>
  <c r="J31" i="1"/>
  <c r="J32" i="1"/>
  <c r="J33" i="1"/>
  <c r="K33" i="1" s="1"/>
  <c r="L33" i="1" s="1"/>
  <c r="J34" i="1"/>
  <c r="J35" i="1"/>
  <c r="J36" i="1"/>
  <c r="J37" i="1"/>
  <c r="K37" i="1" s="1"/>
  <c r="L37" i="1" s="1"/>
  <c r="J38" i="1"/>
  <c r="J39" i="1"/>
  <c r="J40" i="1"/>
  <c r="J41" i="1"/>
  <c r="K41" i="1" s="1"/>
  <c r="L41" i="1" s="1"/>
  <c r="J42" i="1"/>
  <c r="J43" i="1"/>
  <c r="J44" i="1"/>
  <c r="J45" i="1"/>
  <c r="K45" i="1" s="1"/>
  <c r="L45" i="1" s="1"/>
  <c r="J46" i="1"/>
  <c r="J47" i="1"/>
  <c r="J48" i="1"/>
  <c r="J49" i="1"/>
  <c r="K49" i="1" s="1"/>
  <c r="L49" i="1" s="1"/>
  <c r="J50" i="1"/>
  <c r="J51" i="1"/>
  <c r="J52" i="1"/>
  <c r="J53" i="1"/>
  <c r="K53" i="1" s="1"/>
  <c r="L53" i="1" s="1"/>
  <c r="J54" i="1"/>
  <c r="J55" i="1"/>
  <c r="J56" i="1"/>
  <c r="J57" i="1"/>
  <c r="K57" i="1" s="1"/>
  <c r="L57" i="1" s="1"/>
  <c r="J58" i="1"/>
  <c r="J59" i="1"/>
  <c r="J60" i="1"/>
  <c r="J61" i="1"/>
  <c r="K61" i="1" s="1"/>
  <c r="L61" i="1" s="1"/>
  <c r="J62" i="1"/>
  <c r="J63" i="1"/>
  <c r="J64" i="1"/>
  <c r="J65" i="1"/>
  <c r="K65" i="1" s="1"/>
  <c r="L65" i="1" s="1"/>
  <c r="J66" i="1"/>
  <c r="J67" i="1"/>
  <c r="J68" i="1"/>
  <c r="J69" i="1"/>
  <c r="K69" i="1" s="1"/>
  <c r="L69" i="1" s="1"/>
  <c r="J70" i="1"/>
  <c r="J71" i="1"/>
  <c r="J72" i="1"/>
  <c r="J73" i="1"/>
  <c r="K73" i="1" s="1"/>
  <c r="L73" i="1" s="1"/>
  <c r="J74" i="1"/>
  <c r="J75" i="1"/>
  <c r="J76" i="1"/>
  <c r="J77" i="1"/>
  <c r="K77" i="1" s="1"/>
  <c r="L77" i="1" s="1"/>
  <c r="J78" i="1"/>
  <c r="J79" i="1"/>
  <c r="J80" i="1"/>
  <c r="J81" i="1"/>
  <c r="K81" i="1" s="1"/>
  <c r="L81" i="1" s="1"/>
  <c r="J82" i="1"/>
  <c r="J83" i="1"/>
  <c r="J84" i="1"/>
  <c r="J85" i="1"/>
  <c r="K85" i="1" s="1"/>
  <c r="L85" i="1" s="1"/>
  <c r="J86" i="1"/>
  <c r="J87" i="1"/>
  <c r="J88" i="1"/>
  <c r="J89" i="1"/>
  <c r="K89" i="1" s="1"/>
  <c r="L89" i="1" s="1"/>
  <c r="J90" i="1"/>
  <c r="J91" i="1"/>
  <c r="J92" i="1"/>
  <c r="J93" i="1"/>
  <c r="K93" i="1" s="1"/>
  <c r="L93" i="1" s="1"/>
  <c r="J94" i="1"/>
  <c r="J95" i="1"/>
  <c r="J96" i="1"/>
  <c r="J97" i="1"/>
  <c r="K97" i="1" s="1"/>
  <c r="L97" i="1" s="1"/>
  <c r="J98" i="1"/>
  <c r="J99" i="1"/>
  <c r="J100" i="1"/>
  <c r="J101" i="1"/>
  <c r="K101" i="1" s="1"/>
  <c r="L101" i="1" s="1"/>
  <c r="J102" i="1"/>
  <c r="J103" i="1"/>
  <c r="J104" i="1"/>
  <c r="J105" i="1"/>
  <c r="K105" i="1" s="1"/>
  <c r="L105" i="1" s="1"/>
  <c r="J106" i="1"/>
  <c r="J107" i="1"/>
  <c r="J108" i="1"/>
  <c r="J109" i="1"/>
  <c r="K109" i="1" s="1"/>
  <c r="L109" i="1" s="1"/>
  <c r="J110" i="1"/>
  <c r="J111" i="1"/>
  <c r="J112" i="1"/>
  <c r="J113" i="1"/>
  <c r="K113" i="1" s="1"/>
  <c r="L113" i="1" s="1"/>
  <c r="J114" i="1"/>
  <c r="J115" i="1"/>
  <c r="J116" i="1"/>
  <c r="J117" i="1"/>
  <c r="K117" i="1" s="1"/>
  <c r="L117" i="1" s="1"/>
  <c r="J118" i="1"/>
  <c r="J119" i="1"/>
  <c r="J120" i="1"/>
  <c r="J121" i="1"/>
  <c r="K121" i="1" s="1"/>
  <c r="L121" i="1" s="1"/>
  <c r="J122" i="1"/>
  <c r="J123" i="1"/>
  <c r="J124" i="1"/>
  <c r="J125" i="1"/>
  <c r="K125" i="1" s="1"/>
  <c r="L125" i="1" s="1"/>
  <c r="J126" i="1"/>
  <c r="J127" i="1"/>
  <c r="J128" i="1"/>
  <c r="J129" i="1"/>
  <c r="K129" i="1" s="1"/>
  <c r="L129" i="1" s="1"/>
  <c r="J130" i="1"/>
  <c r="J131" i="1"/>
  <c r="J132" i="1"/>
  <c r="J133" i="1"/>
  <c r="K133" i="1" s="1"/>
  <c r="L133" i="1" s="1"/>
  <c r="J134" i="1"/>
  <c r="J135" i="1"/>
  <c r="J136" i="1"/>
  <c r="J137" i="1"/>
  <c r="K137" i="1" s="1"/>
  <c r="L137" i="1" s="1"/>
  <c r="J138" i="1"/>
  <c r="J139" i="1"/>
  <c r="J140" i="1"/>
  <c r="J141" i="1"/>
  <c r="K141" i="1" s="1"/>
  <c r="L141" i="1" s="1"/>
  <c r="J142" i="1"/>
  <c r="J143" i="1"/>
  <c r="J144" i="1"/>
  <c r="J145" i="1"/>
  <c r="K145" i="1" s="1"/>
  <c r="L145" i="1" s="1"/>
  <c r="J146" i="1"/>
  <c r="J147" i="1"/>
  <c r="J148" i="1"/>
  <c r="J149" i="1"/>
  <c r="K149" i="1" s="1"/>
  <c r="L149" i="1" s="1"/>
  <c r="J150" i="1"/>
  <c r="J151" i="1"/>
  <c r="J152" i="1"/>
  <c r="J153" i="1"/>
  <c r="K153" i="1" s="1"/>
  <c r="L153" i="1" s="1"/>
  <c r="J154" i="1"/>
  <c r="J155" i="1"/>
  <c r="J156" i="1"/>
  <c r="J157" i="1"/>
  <c r="K157" i="1" s="1"/>
  <c r="L157" i="1" s="1"/>
  <c r="J158" i="1"/>
  <c r="J159" i="1"/>
  <c r="J160" i="1"/>
  <c r="J161" i="1"/>
  <c r="K161" i="1" s="1"/>
  <c r="L161" i="1" s="1"/>
  <c r="J162" i="1"/>
  <c r="J163" i="1"/>
  <c r="J164" i="1"/>
  <c r="J165" i="1"/>
  <c r="K165" i="1" s="1"/>
  <c r="L165" i="1" s="1"/>
  <c r="J166" i="1"/>
  <c r="J167" i="1"/>
  <c r="J168" i="1"/>
  <c r="J169" i="1"/>
  <c r="K169" i="1" s="1"/>
  <c r="L169" i="1" s="1"/>
  <c r="J170" i="1"/>
  <c r="J171" i="1"/>
  <c r="J172" i="1"/>
  <c r="J173" i="1"/>
  <c r="K173" i="1" s="1"/>
  <c r="L173" i="1" s="1"/>
  <c r="J174" i="1"/>
  <c r="J175" i="1"/>
  <c r="J176" i="1"/>
  <c r="J177" i="1"/>
  <c r="K177" i="1" s="1"/>
  <c r="L177" i="1" s="1"/>
  <c r="J178" i="1"/>
  <c r="J179" i="1"/>
  <c r="J180" i="1"/>
  <c r="J181" i="1"/>
  <c r="K181" i="1" s="1"/>
  <c r="L181" i="1" s="1"/>
  <c r="J182" i="1"/>
  <c r="J183" i="1"/>
  <c r="J184" i="1"/>
  <c r="J185" i="1"/>
  <c r="K185" i="1" s="1"/>
  <c r="L185" i="1" s="1"/>
  <c r="J186" i="1"/>
  <c r="J187" i="1"/>
  <c r="J188" i="1"/>
  <c r="J189" i="1"/>
  <c r="K189" i="1" s="1"/>
  <c r="L189" i="1" s="1"/>
  <c r="J190" i="1"/>
  <c r="J191" i="1"/>
  <c r="J192" i="1"/>
  <c r="J193" i="1"/>
  <c r="K193" i="1" s="1"/>
  <c r="L193" i="1" s="1"/>
  <c r="J194" i="1"/>
  <c r="J195" i="1"/>
  <c r="J196" i="1"/>
  <c r="J197" i="1"/>
  <c r="K197" i="1" s="1"/>
  <c r="L197" i="1" s="1"/>
  <c r="J198" i="1"/>
  <c r="J199" i="1"/>
  <c r="J200" i="1"/>
  <c r="J201" i="1"/>
  <c r="K201" i="1" s="1"/>
  <c r="L201" i="1" s="1"/>
  <c r="J202" i="1"/>
  <c r="J203" i="1"/>
  <c r="J204" i="1"/>
  <c r="J205" i="1"/>
  <c r="K205" i="1" s="1"/>
  <c r="L205" i="1" s="1"/>
  <c r="J206" i="1"/>
  <c r="J207" i="1"/>
  <c r="J208" i="1"/>
  <c r="J209" i="1"/>
  <c r="K209" i="1" s="1"/>
  <c r="L209" i="1" s="1"/>
  <c r="J210" i="1"/>
  <c r="J211" i="1"/>
  <c r="J212" i="1"/>
  <c r="J213" i="1"/>
  <c r="K213" i="1" s="1"/>
  <c r="L213" i="1" s="1"/>
  <c r="J214" i="1"/>
  <c r="J215" i="1"/>
  <c r="J216" i="1"/>
  <c r="J217" i="1"/>
  <c r="K217" i="1" s="1"/>
  <c r="L217" i="1" s="1"/>
  <c r="J218" i="1"/>
  <c r="J219" i="1"/>
  <c r="J220" i="1"/>
  <c r="J221" i="1"/>
  <c r="K221" i="1" s="1"/>
  <c r="L221" i="1" s="1"/>
  <c r="J222" i="1"/>
  <c r="J223" i="1"/>
  <c r="J224" i="1"/>
  <c r="J225" i="1"/>
  <c r="K225" i="1" s="1"/>
  <c r="L225" i="1" s="1"/>
  <c r="J226" i="1"/>
  <c r="J227" i="1"/>
  <c r="J228" i="1"/>
  <c r="J229" i="1"/>
  <c r="K229" i="1" s="1"/>
  <c r="L229" i="1" s="1"/>
  <c r="J230" i="1"/>
  <c r="J231" i="1"/>
  <c r="J232" i="1"/>
  <c r="J233" i="1"/>
  <c r="K233" i="1" s="1"/>
  <c r="L233" i="1" s="1"/>
  <c r="J234" i="1"/>
  <c r="J235" i="1"/>
  <c r="J236" i="1"/>
  <c r="J237" i="1"/>
  <c r="K237" i="1" s="1"/>
  <c r="L237" i="1" s="1"/>
  <c r="J238" i="1"/>
  <c r="J239" i="1"/>
  <c r="J240" i="1"/>
  <c r="J241" i="1"/>
  <c r="K241" i="1" s="1"/>
  <c r="L241" i="1" s="1"/>
  <c r="J242" i="1"/>
  <c r="J243" i="1"/>
  <c r="J244" i="1"/>
  <c r="J245" i="1"/>
  <c r="K245" i="1" s="1"/>
  <c r="L245" i="1" s="1"/>
  <c r="J246" i="1"/>
  <c r="J247" i="1"/>
  <c r="J248" i="1"/>
  <c r="J249" i="1"/>
  <c r="K249" i="1" s="1"/>
  <c r="L249" i="1" s="1"/>
  <c r="J250" i="1"/>
  <c r="J251" i="1"/>
  <c r="J252" i="1"/>
  <c r="J253" i="1"/>
  <c r="K253" i="1" s="1"/>
  <c r="L253" i="1" s="1"/>
  <c r="J254" i="1"/>
  <c r="J255" i="1"/>
  <c r="J256" i="1"/>
  <c r="J257" i="1"/>
  <c r="K257" i="1" s="1"/>
  <c r="L257" i="1" s="1"/>
  <c r="J258" i="1"/>
  <c r="J259" i="1"/>
  <c r="J260" i="1"/>
  <c r="J261" i="1"/>
  <c r="K261" i="1" s="1"/>
  <c r="L261" i="1" s="1"/>
  <c r="J262" i="1"/>
  <c r="J263" i="1"/>
  <c r="J264" i="1"/>
  <c r="J265" i="1"/>
  <c r="K265" i="1" s="1"/>
  <c r="L265" i="1" s="1"/>
  <c r="J266" i="1"/>
  <c r="J267" i="1"/>
  <c r="J268" i="1"/>
  <c r="J269" i="1"/>
  <c r="K269" i="1" s="1"/>
  <c r="L269" i="1" s="1"/>
  <c r="K266" i="1" l="1"/>
  <c r="L266" i="1" s="1"/>
  <c r="K262" i="1"/>
  <c r="L262" i="1" s="1"/>
  <c r="K258" i="1"/>
  <c r="L258" i="1" s="1"/>
  <c r="K254" i="1"/>
  <c r="L254" i="1" s="1"/>
  <c r="K250" i="1"/>
  <c r="L250" i="1" s="1"/>
  <c r="K246" i="1"/>
  <c r="L246" i="1" s="1"/>
  <c r="K242" i="1"/>
  <c r="L242" i="1" s="1"/>
  <c r="K238" i="1"/>
  <c r="L238" i="1" s="1"/>
  <c r="K234" i="1"/>
  <c r="L234" i="1" s="1"/>
  <c r="K230" i="1"/>
  <c r="L230" i="1" s="1"/>
  <c r="K226" i="1"/>
  <c r="L226" i="1" s="1"/>
  <c r="K222" i="1"/>
  <c r="L222" i="1" s="1"/>
  <c r="K218" i="1"/>
  <c r="L218" i="1" s="1"/>
  <c r="K214" i="1"/>
  <c r="L214" i="1" s="1"/>
  <c r="K210" i="1"/>
  <c r="L210" i="1" s="1"/>
  <c r="K206" i="1"/>
  <c r="L206" i="1" s="1"/>
  <c r="K202" i="1"/>
  <c r="L202" i="1" s="1"/>
  <c r="K198" i="1"/>
  <c r="L198" i="1" s="1"/>
  <c r="K194" i="1"/>
  <c r="L194" i="1" s="1"/>
  <c r="K190" i="1"/>
  <c r="L190" i="1" s="1"/>
  <c r="K186" i="1"/>
  <c r="L186" i="1" s="1"/>
  <c r="K182" i="1"/>
  <c r="L182" i="1" s="1"/>
  <c r="K178" i="1"/>
  <c r="L178" i="1" s="1"/>
  <c r="K174" i="1"/>
  <c r="L174" i="1" s="1"/>
  <c r="K170" i="1"/>
  <c r="L170" i="1" s="1"/>
  <c r="K166" i="1"/>
  <c r="L166" i="1" s="1"/>
  <c r="K162" i="1"/>
  <c r="L162" i="1" s="1"/>
  <c r="K158" i="1"/>
  <c r="L158" i="1" s="1"/>
  <c r="K154" i="1"/>
  <c r="L154" i="1" s="1"/>
  <c r="K150" i="1"/>
  <c r="L150" i="1" s="1"/>
  <c r="K146" i="1"/>
  <c r="L146" i="1" s="1"/>
  <c r="K142" i="1"/>
  <c r="L142" i="1" s="1"/>
  <c r="K138" i="1"/>
  <c r="L138" i="1" s="1"/>
  <c r="K134" i="1"/>
  <c r="L134" i="1" s="1"/>
  <c r="K130" i="1"/>
  <c r="L130" i="1" s="1"/>
  <c r="K126" i="1"/>
  <c r="L126" i="1" s="1"/>
  <c r="K122" i="1"/>
  <c r="L122" i="1" s="1"/>
  <c r="K118" i="1"/>
  <c r="L118" i="1" s="1"/>
  <c r="K114" i="1"/>
  <c r="L114" i="1" s="1"/>
  <c r="K110" i="1"/>
  <c r="L110" i="1" s="1"/>
  <c r="K106" i="1"/>
  <c r="L106" i="1" s="1"/>
  <c r="K102" i="1"/>
  <c r="L102" i="1" s="1"/>
  <c r="K98" i="1"/>
  <c r="L98" i="1" s="1"/>
  <c r="K94" i="1"/>
  <c r="L94" i="1" s="1"/>
  <c r="K90" i="1"/>
  <c r="L90" i="1" s="1"/>
  <c r="K86" i="1"/>
  <c r="L86" i="1" s="1"/>
  <c r="K82" i="1"/>
  <c r="L82" i="1" s="1"/>
  <c r="K78" i="1"/>
  <c r="L78" i="1" s="1"/>
  <c r="K74" i="1"/>
  <c r="L74" i="1" s="1"/>
  <c r="K70" i="1"/>
  <c r="L70" i="1" s="1"/>
  <c r="K66" i="1"/>
  <c r="L66" i="1" s="1"/>
  <c r="K62" i="1"/>
  <c r="L62" i="1" s="1"/>
  <c r="K58" i="1"/>
  <c r="L58" i="1" s="1"/>
  <c r="K54" i="1"/>
  <c r="L54" i="1" s="1"/>
  <c r="K50" i="1"/>
  <c r="L50" i="1" s="1"/>
  <c r="K46" i="1"/>
  <c r="L46" i="1" s="1"/>
  <c r="K42" i="1"/>
  <c r="L42" i="1" s="1"/>
  <c r="K38" i="1"/>
  <c r="L38" i="1" s="1"/>
  <c r="K34" i="1"/>
  <c r="L34" i="1" s="1"/>
  <c r="K30" i="1"/>
  <c r="L30" i="1" s="1"/>
  <c r="K26" i="1"/>
  <c r="L26" i="1" s="1"/>
  <c r="K22" i="1"/>
  <c r="L22" i="1" s="1"/>
  <c r="K18" i="1"/>
  <c r="L18" i="1" s="1"/>
  <c r="K14" i="1"/>
  <c r="L14" i="1" s="1"/>
  <c r="K10" i="1"/>
  <c r="L10" i="1" s="1"/>
  <c r="K4" i="1"/>
  <c r="K268" i="1"/>
  <c r="L268" i="1" s="1"/>
  <c r="K264" i="1"/>
  <c r="L264" i="1" s="1"/>
  <c r="K260" i="1"/>
  <c r="L260" i="1" s="1"/>
  <c r="K256" i="1"/>
  <c r="L256" i="1" s="1"/>
  <c r="K252" i="1"/>
  <c r="L252" i="1" s="1"/>
  <c r="K248" i="1"/>
  <c r="L248" i="1" s="1"/>
  <c r="K244" i="1"/>
  <c r="L244" i="1" s="1"/>
  <c r="K240" i="1"/>
  <c r="L240" i="1" s="1"/>
  <c r="K236" i="1"/>
  <c r="L236" i="1" s="1"/>
  <c r="K232" i="1"/>
  <c r="L232" i="1" s="1"/>
  <c r="K228" i="1"/>
  <c r="L228" i="1" s="1"/>
  <c r="K224" i="1"/>
  <c r="L224" i="1" s="1"/>
  <c r="K220" i="1"/>
  <c r="L220" i="1" s="1"/>
  <c r="K216" i="1"/>
  <c r="L216" i="1" s="1"/>
  <c r="K212" i="1"/>
  <c r="L212" i="1" s="1"/>
  <c r="K208" i="1"/>
  <c r="L208" i="1" s="1"/>
  <c r="K204" i="1"/>
  <c r="L204" i="1" s="1"/>
  <c r="K200" i="1"/>
  <c r="L200" i="1" s="1"/>
  <c r="K196" i="1"/>
  <c r="L196" i="1" s="1"/>
  <c r="K192" i="1"/>
  <c r="L192" i="1" s="1"/>
  <c r="K188" i="1"/>
  <c r="L188" i="1" s="1"/>
  <c r="K184" i="1"/>
  <c r="L184" i="1" s="1"/>
  <c r="K180" i="1"/>
  <c r="L180" i="1" s="1"/>
  <c r="K176" i="1"/>
  <c r="L176" i="1" s="1"/>
  <c r="K172" i="1"/>
  <c r="L172" i="1" s="1"/>
  <c r="K164" i="1"/>
  <c r="L164" i="1" s="1"/>
  <c r="K160" i="1"/>
  <c r="L160" i="1" s="1"/>
  <c r="K156" i="1"/>
  <c r="L156" i="1" s="1"/>
  <c r="K152" i="1"/>
  <c r="L152" i="1" s="1"/>
  <c r="K148" i="1"/>
  <c r="L148" i="1" s="1"/>
  <c r="K144" i="1"/>
  <c r="L144" i="1" s="1"/>
  <c r="K140" i="1"/>
  <c r="L140" i="1" s="1"/>
  <c r="K136" i="1"/>
  <c r="L136" i="1" s="1"/>
  <c r="K132" i="1"/>
  <c r="L132" i="1" s="1"/>
  <c r="K128" i="1"/>
  <c r="L128" i="1" s="1"/>
  <c r="K124" i="1"/>
  <c r="L124" i="1" s="1"/>
  <c r="K120" i="1"/>
  <c r="L120" i="1" s="1"/>
  <c r="K116" i="1"/>
  <c r="L116" i="1" s="1"/>
  <c r="K112" i="1"/>
  <c r="L112" i="1" s="1"/>
  <c r="K108" i="1"/>
  <c r="L108" i="1" s="1"/>
  <c r="K104" i="1"/>
  <c r="L104" i="1" s="1"/>
  <c r="K100" i="1"/>
  <c r="L100" i="1" s="1"/>
  <c r="K96" i="1"/>
  <c r="L96" i="1" s="1"/>
  <c r="K92" i="1"/>
  <c r="L92" i="1" s="1"/>
  <c r="K88" i="1"/>
  <c r="L88" i="1" s="1"/>
  <c r="K84" i="1"/>
  <c r="L84" i="1" s="1"/>
  <c r="K80" i="1"/>
  <c r="L80" i="1" s="1"/>
  <c r="K76" i="1"/>
  <c r="L76" i="1" s="1"/>
  <c r="K72" i="1"/>
  <c r="L72" i="1" s="1"/>
  <c r="K68" i="1"/>
  <c r="L68" i="1" s="1"/>
  <c r="K64" i="1"/>
  <c r="L64" i="1" s="1"/>
  <c r="K60" i="1"/>
  <c r="L60" i="1" s="1"/>
  <c r="K56" i="1"/>
  <c r="L56" i="1" s="1"/>
  <c r="K52" i="1"/>
  <c r="L52" i="1" s="1"/>
  <c r="K48" i="1"/>
  <c r="L48" i="1" s="1"/>
  <c r="K44" i="1"/>
  <c r="L44" i="1" s="1"/>
  <c r="K40" i="1"/>
  <c r="L40" i="1" s="1"/>
  <c r="K36" i="1"/>
  <c r="L36" i="1" s="1"/>
  <c r="K32" i="1"/>
  <c r="L32" i="1" s="1"/>
  <c r="K28" i="1"/>
  <c r="L28" i="1" s="1"/>
  <c r="K24" i="1"/>
  <c r="L24" i="1" s="1"/>
  <c r="K20" i="1"/>
  <c r="L20" i="1" s="1"/>
  <c r="K16" i="1"/>
  <c r="L16" i="1" s="1"/>
  <c r="K12" i="1"/>
  <c r="L12" i="1" s="1"/>
  <c r="K8" i="1"/>
  <c r="L8" i="1" s="1"/>
  <c r="K168" i="1"/>
  <c r="L168" i="1" s="1"/>
  <c r="K5" i="1"/>
  <c r="L5" i="1" s="1"/>
  <c r="N5" i="1" s="1"/>
  <c r="K6" i="1"/>
  <c r="L6" i="1" s="1"/>
  <c r="M6" i="1" s="1"/>
  <c r="K267" i="1"/>
  <c r="L267" i="1" s="1"/>
  <c r="K263" i="1"/>
  <c r="L263" i="1" s="1"/>
  <c r="K259" i="1"/>
  <c r="L259" i="1" s="1"/>
  <c r="K255" i="1"/>
  <c r="L255" i="1" s="1"/>
  <c r="K251" i="1"/>
  <c r="L251" i="1" s="1"/>
  <c r="K247" i="1"/>
  <c r="L247" i="1" s="1"/>
  <c r="K243" i="1"/>
  <c r="L243" i="1" s="1"/>
  <c r="K239" i="1"/>
  <c r="L239" i="1" s="1"/>
  <c r="K235" i="1"/>
  <c r="L235" i="1" s="1"/>
  <c r="K231" i="1"/>
  <c r="L231" i="1" s="1"/>
  <c r="K227" i="1"/>
  <c r="L227" i="1" s="1"/>
  <c r="K223" i="1"/>
  <c r="L223" i="1" s="1"/>
  <c r="K219" i="1"/>
  <c r="L219" i="1" s="1"/>
  <c r="K215" i="1"/>
  <c r="L215" i="1" s="1"/>
  <c r="K211" i="1"/>
  <c r="L211" i="1" s="1"/>
  <c r="K207" i="1"/>
  <c r="L207" i="1" s="1"/>
  <c r="K203" i="1"/>
  <c r="L203" i="1" s="1"/>
  <c r="K199" i="1"/>
  <c r="L199" i="1" s="1"/>
  <c r="K195" i="1"/>
  <c r="L195" i="1" s="1"/>
  <c r="K191" i="1"/>
  <c r="L191" i="1" s="1"/>
  <c r="K187" i="1"/>
  <c r="L187" i="1" s="1"/>
  <c r="K183" i="1"/>
  <c r="L183" i="1" s="1"/>
  <c r="K179" i="1"/>
  <c r="L179" i="1" s="1"/>
  <c r="K175" i="1"/>
  <c r="L175" i="1" s="1"/>
  <c r="K171" i="1"/>
  <c r="L171" i="1" s="1"/>
  <c r="K167" i="1"/>
  <c r="L167" i="1" s="1"/>
  <c r="K163" i="1"/>
  <c r="L163" i="1" s="1"/>
  <c r="K159" i="1"/>
  <c r="L159" i="1" s="1"/>
  <c r="K155" i="1"/>
  <c r="L155" i="1" s="1"/>
  <c r="K151" i="1"/>
  <c r="L151" i="1" s="1"/>
  <c r="K147" i="1"/>
  <c r="L147" i="1" s="1"/>
  <c r="K143" i="1"/>
  <c r="L143" i="1" s="1"/>
  <c r="K139" i="1"/>
  <c r="L139" i="1" s="1"/>
  <c r="K135" i="1"/>
  <c r="L135" i="1" s="1"/>
  <c r="K131" i="1"/>
  <c r="L131" i="1" s="1"/>
  <c r="K127" i="1"/>
  <c r="L127" i="1" s="1"/>
  <c r="K123" i="1"/>
  <c r="L123" i="1" s="1"/>
  <c r="K119" i="1"/>
  <c r="L119" i="1" s="1"/>
  <c r="K115" i="1"/>
  <c r="L115" i="1" s="1"/>
  <c r="K111" i="1"/>
  <c r="L111" i="1" s="1"/>
  <c r="K107" i="1"/>
  <c r="L107" i="1" s="1"/>
  <c r="K103" i="1"/>
  <c r="L103" i="1" s="1"/>
  <c r="K99" i="1"/>
  <c r="L99" i="1" s="1"/>
  <c r="K95" i="1"/>
  <c r="L95" i="1" s="1"/>
  <c r="K91" i="1"/>
  <c r="L91" i="1" s="1"/>
  <c r="K87" i="1"/>
  <c r="L87" i="1" s="1"/>
  <c r="K83" i="1"/>
  <c r="L83" i="1" s="1"/>
  <c r="K79" i="1"/>
  <c r="L79" i="1" s="1"/>
  <c r="K75" i="1"/>
  <c r="L75" i="1" s="1"/>
  <c r="K71" i="1"/>
  <c r="L71" i="1" s="1"/>
  <c r="K67" i="1"/>
  <c r="L67" i="1" s="1"/>
  <c r="K63" i="1"/>
  <c r="L63" i="1" s="1"/>
  <c r="K59" i="1"/>
  <c r="L59" i="1" s="1"/>
  <c r="K55" i="1"/>
  <c r="L55" i="1" s="1"/>
  <c r="K51" i="1"/>
  <c r="L51" i="1" s="1"/>
  <c r="K47" i="1"/>
  <c r="L47" i="1" s="1"/>
  <c r="K43" i="1"/>
  <c r="L43" i="1" s="1"/>
  <c r="K39" i="1"/>
  <c r="L39" i="1" s="1"/>
  <c r="K35" i="1"/>
  <c r="L35" i="1" s="1"/>
  <c r="K31" i="1"/>
  <c r="L31" i="1" s="1"/>
  <c r="K27" i="1"/>
  <c r="L27" i="1" s="1"/>
  <c r="K23" i="1"/>
  <c r="L23" i="1" s="1"/>
  <c r="K19" i="1"/>
  <c r="L19" i="1" s="1"/>
  <c r="K15" i="1"/>
  <c r="L15" i="1" s="1"/>
  <c r="K11" i="1"/>
  <c r="L11" i="1" s="1"/>
  <c r="K7" i="1"/>
  <c r="L7" i="1" s="1"/>
  <c r="M7" i="1" l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N6" i="1" l="1"/>
  <c r="N7" i="1"/>
  <c r="O6" i="1" s="1"/>
  <c r="O5" i="1" l="1"/>
  <c r="N8" i="1"/>
  <c r="O7" i="1" s="1"/>
  <c r="N9" i="1" l="1"/>
  <c r="O8" i="1" s="1"/>
  <c r="N10" i="1" l="1"/>
  <c r="O9" i="1" l="1"/>
  <c r="N11" i="1"/>
  <c r="O10" i="1" s="1"/>
  <c r="N12" i="1" l="1"/>
  <c r="O11" i="1" s="1"/>
  <c r="N13" i="1" l="1"/>
  <c r="O12" i="1" s="1"/>
  <c r="N14" i="1" l="1"/>
  <c r="O13" i="1" s="1"/>
  <c r="N15" i="1" l="1"/>
  <c r="O14" i="1" s="1"/>
  <c r="N16" i="1" l="1"/>
  <c r="O15" i="1" s="1"/>
  <c r="N17" i="1" l="1"/>
  <c r="O16" i="1" s="1"/>
  <c r="N18" i="1" l="1"/>
  <c r="O17" i="1" s="1"/>
  <c r="N19" i="1" l="1"/>
  <c r="O18" i="1" s="1"/>
  <c r="N20" i="1" l="1"/>
  <c r="O19" i="1" s="1"/>
  <c r="N21" i="1" l="1"/>
  <c r="O20" i="1" s="1"/>
  <c r="N22" i="1" l="1"/>
  <c r="O21" i="1" s="1"/>
  <c r="N23" i="1" l="1"/>
  <c r="O22" i="1" s="1"/>
  <c r="N24" i="1" l="1"/>
  <c r="O23" i="1" s="1"/>
  <c r="N25" i="1" l="1"/>
  <c r="O24" i="1" s="1"/>
  <c r="N26" i="1" l="1"/>
  <c r="O25" i="1" s="1"/>
  <c r="N27" i="1" l="1"/>
  <c r="O26" i="1" s="1"/>
  <c r="N28" i="1" l="1"/>
  <c r="O27" i="1" s="1"/>
  <c r="N29" i="1" l="1"/>
  <c r="O28" i="1" s="1"/>
  <c r="N30" i="1" l="1"/>
  <c r="O29" i="1" s="1"/>
  <c r="N31" i="1" l="1"/>
  <c r="O30" i="1" s="1"/>
  <c r="N32" i="1" l="1"/>
  <c r="O31" i="1" s="1"/>
  <c r="N33" i="1" l="1"/>
  <c r="O32" i="1" s="1"/>
  <c r="N34" i="1" l="1"/>
  <c r="O33" i="1" s="1"/>
  <c r="N35" i="1" l="1"/>
  <c r="O34" i="1" s="1"/>
  <c r="N36" i="1" l="1"/>
  <c r="O35" i="1" s="1"/>
  <c r="N37" i="1" l="1"/>
  <c r="O36" i="1" s="1"/>
  <c r="N38" i="1" l="1"/>
  <c r="O37" i="1" s="1"/>
  <c r="N39" i="1" l="1"/>
  <c r="O38" i="1" s="1"/>
  <c r="N40" i="1" l="1"/>
  <c r="O39" i="1" s="1"/>
  <c r="N41" i="1" l="1"/>
  <c r="O40" i="1" s="1"/>
  <c r="N42" i="1" l="1"/>
  <c r="O41" i="1" s="1"/>
  <c r="N43" i="1" l="1"/>
  <c r="O42" i="1" s="1"/>
  <c r="N44" i="1" l="1"/>
  <c r="O43" i="1" s="1"/>
  <c r="N45" i="1" l="1"/>
  <c r="O44" i="1" s="1"/>
  <c r="N46" i="1" l="1"/>
  <c r="O45" i="1" s="1"/>
  <c r="N47" i="1" l="1"/>
  <c r="O46" i="1" s="1"/>
  <c r="N48" i="1" l="1"/>
  <c r="O47" i="1" s="1"/>
  <c r="N49" i="1" l="1"/>
  <c r="O48" i="1" s="1"/>
  <c r="N50" i="1" l="1"/>
  <c r="O49" i="1" s="1"/>
  <c r="N51" i="1" l="1"/>
  <c r="O50" i="1" s="1"/>
  <c r="N52" i="1" l="1"/>
  <c r="O51" i="1" s="1"/>
  <c r="N53" i="1" l="1"/>
  <c r="O52" i="1" s="1"/>
  <c r="N54" i="1" l="1"/>
  <c r="O53" i="1" s="1"/>
  <c r="N55" i="1" l="1"/>
  <c r="O54" i="1" s="1"/>
  <c r="N56" i="1" l="1"/>
  <c r="O55" i="1" s="1"/>
  <c r="N57" i="1" l="1"/>
  <c r="O56" i="1" s="1"/>
  <c r="N58" i="1" l="1"/>
  <c r="O57" i="1" s="1"/>
  <c r="N59" i="1" l="1"/>
  <c r="O58" i="1" s="1"/>
  <c r="N60" i="1" l="1"/>
  <c r="O59" i="1" s="1"/>
  <c r="N61" i="1" l="1"/>
  <c r="O60" i="1" s="1"/>
  <c r="N62" i="1" l="1"/>
  <c r="O61" i="1" s="1"/>
  <c r="N63" i="1" l="1"/>
  <c r="O62" i="1" s="1"/>
  <c r="N64" i="1" l="1"/>
  <c r="O63" i="1" s="1"/>
  <c r="N65" i="1" l="1"/>
  <c r="O64" i="1" s="1"/>
  <c r="N66" i="1" l="1"/>
  <c r="O65" i="1" s="1"/>
  <c r="N67" i="1" l="1"/>
  <c r="O66" i="1" s="1"/>
  <c r="N68" i="1" l="1"/>
  <c r="O67" i="1" s="1"/>
  <c r="N69" i="1" l="1"/>
  <c r="O68" i="1" s="1"/>
  <c r="N70" i="1" l="1"/>
  <c r="O69" i="1" s="1"/>
  <c r="N71" i="1" l="1"/>
  <c r="O70" i="1" s="1"/>
  <c r="N72" i="1" l="1"/>
  <c r="O71" i="1" s="1"/>
  <c r="N73" i="1" l="1"/>
  <c r="O72" i="1" s="1"/>
  <c r="N74" i="1" l="1"/>
  <c r="O73" i="1" s="1"/>
  <c r="N75" i="1" l="1"/>
  <c r="O74" i="1" s="1"/>
  <c r="N76" i="1" l="1"/>
  <c r="O75" i="1" s="1"/>
  <c r="N77" i="1" l="1"/>
  <c r="O76" i="1" s="1"/>
  <c r="N78" i="1" l="1"/>
  <c r="O77" i="1" s="1"/>
  <c r="N79" i="1" l="1"/>
  <c r="O78" i="1" s="1"/>
  <c r="N80" i="1" l="1"/>
  <c r="O79" i="1" s="1"/>
  <c r="N81" i="1" l="1"/>
  <c r="O80" i="1" s="1"/>
  <c r="N82" i="1" l="1"/>
  <c r="O81" i="1" s="1"/>
  <c r="N83" i="1" l="1"/>
  <c r="O82" i="1" s="1"/>
  <c r="N84" i="1" l="1"/>
  <c r="O83" i="1" s="1"/>
  <c r="N85" i="1" l="1"/>
  <c r="O84" i="1" s="1"/>
  <c r="N86" i="1" l="1"/>
  <c r="O85" i="1" s="1"/>
  <c r="N87" i="1" l="1"/>
  <c r="O86" i="1" s="1"/>
  <c r="N88" i="1" l="1"/>
  <c r="O87" i="1" s="1"/>
  <c r="N89" i="1" l="1"/>
  <c r="O88" i="1" s="1"/>
  <c r="N90" i="1" l="1"/>
  <c r="O89" i="1" s="1"/>
  <c r="N91" i="1" l="1"/>
  <c r="O90" i="1" s="1"/>
  <c r="N92" i="1" l="1"/>
  <c r="O91" i="1" s="1"/>
  <c r="N93" i="1" l="1"/>
  <c r="O92" i="1" s="1"/>
  <c r="N94" i="1" l="1"/>
  <c r="O93" i="1" s="1"/>
  <c r="N95" i="1" l="1"/>
  <c r="O94" i="1" s="1"/>
  <c r="N96" i="1" l="1"/>
  <c r="O95" i="1" s="1"/>
  <c r="N97" i="1" l="1"/>
  <c r="O96" i="1" s="1"/>
  <c r="N98" i="1" l="1"/>
  <c r="O97" i="1" s="1"/>
  <c r="N99" i="1" l="1"/>
  <c r="O98" i="1" s="1"/>
  <c r="N100" i="1" l="1"/>
  <c r="O99" i="1" s="1"/>
  <c r="N101" i="1" l="1"/>
  <c r="O100" i="1" s="1"/>
  <c r="N102" i="1" l="1"/>
  <c r="O101" i="1" s="1"/>
  <c r="N103" i="1" l="1"/>
  <c r="O102" i="1" s="1"/>
  <c r="N104" i="1" l="1"/>
  <c r="O103" i="1" s="1"/>
  <c r="N105" i="1" l="1"/>
  <c r="O104" i="1" s="1"/>
  <c r="N106" i="1" l="1"/>
  <c r="O105" i="1" s="1"/>
  <c r="N107" i="1" l="1"/>
  <c r="O106" i="1" s="1"/>
  <c r="N108" i="1" l="1"/>
  <c r="O107" i="1" s="1"/>
  <c r="N109" i="1" l="1"/>
  <c r="O108" i="1" s="1"/>
  <c r="N110" i="1" l="1"/>
  <c r="O109" i="1" s="1"/>
  <c r="N111" i="1" l="1"/>
  <c r="O110" i="1" s="1"/>
  <c r="N112" i="1" l="1"/>
  <c r="O111" i="1" s="1"/>
  <c r="N113" i="1" l="1"/>
  <c r="O112" i="1" s="1"/>
  <c r="N114" i="1" l="1"/>
  <c r="O113" i="1" s="1"/>
  <c r="N115" i="1" l="1"/>
  <c r="O114" i="1" s="1"/>
  <c r="N116" i="1" l="1"/>
  <c r="O115" i="1" s="1"/>
  <c r="N117" i="1" l="1"/>
  <c r="O116" i="1" s="1"/>
  <c r="N118" i="1" l="1"/>
  <c r="O117" i="1" s="1"/>
  <c r="N119" i="1" l="1"/>
  <c r="O118" i="1" s="1"/>
  <c r="N120" i="1" l="1"/>
  <c r="O119" i="1" s="1"/>
  <c r="N121" i="1" l="1"/>
  <c r="O120" i="1" s="1"/>
  <c r="N122" i="1" l="1"/>
  <c r="O121" i="1" s="1"/>
  <c r="N123" i="1" l="1"/>
  <c r="O122" i="1" s="1"/>
  <c r="N124" i="1" l="1"/>
  <c r="O123" i="1" s="1"/>
  <c r="N125" i="1" l="1"/>
  <c r="O124" i="1" s="1"/>
  <c r="N126" i="1" l="1"/>
  <c r="O125" i="1" s="1"/>
  <c r="N127" i="1" l="1"/>
  <c r="O126" i="1" s="1"/>
  <c r="N128" i="1" l="1"/>
  <c r="O127" i="1" s="1"/>
  <c r="N129" i="1" l="1"/>
  <c r="O128" i="1" s="1"/>
  <c r="N130" i="1" l="1"/>
  <c r="O129" i="1" s="1"/>
  <c r="N131" i="1" l="1"/>
  <c r="O130" i="1" s="1"/>
  <c r="N132" i="1" l="1"/>
  <c r="O131" i="1" s="1"/>
  <c r="N133" i="1" l="1"/>
  <c r="O132" i="1" s="1"/>
  <c r="N134" i="1" l="1"/>
  <c r="O133" i="1" s="1"/>
  <c r="N135" i="1" l="1"/>
  <c r="O134" i="1" s="1"/>
  <c r="N136" i="1" l="1"/>
  <c r="O135" i="1" s="1"/>
  <c r="N137" i="1" l="1"/>
  <c r="O136" i="1" s="1"/>
  <c r="N138" i="1" l="1"/>
  <c r="O137" i="1" s="1"/>
  <c r="N139" i="1" l="1"/>
  <c r="O138" i="1" s="1"/>
  <c r="N140" i="1" l="1"/>
  <c r="O139" i="1" s="1"/>
  <c r="N141" i="1" l="1"/>
  <c r="O140" i="1" s="1"/>
  <c r="N142" i="1" l="1"/>
  <c r="O141" i="1" s="1"/>
  <c r="N143" i="1" l="1"/>
  <c r="O142" i="1" s="1"/>
  <c r="N144" i="1" l="1"/>
  <c r="O143" i="1" s="1"/>
  <c r="N145" i="1" l="1"/>
  <c r="O144" i="1" s="1"/>
  <c r="N146" i="1" l="1"/>
  <c r="O145" i="1" s="1"/>
  <c r="N147" i="1" l="1"/>
  <c r="O146" i="1" s="1"/>
  <c r="N148" i="1" l="1"/>
  <c r="O147" i="1" s="1"/>
  <c r="N149" i="1" l="1"/>
  <c r="O148" i="1" s="1"/>
  <c r="N150" i="1" l="1"/>
  <c r="O149" i="1" s="1"/>
  <c r="N151" i="1" l="1"/>
  <c r="O150" i="1" s="1"/>
  <c r="N152" i="1" l="1"/>
  <c r="O151" i="1" s="1"/>
  <c r="N153" i="1" l="1"/>
  <c r="O152" i="1" s="1"/>
  <c r="N154" i="1" l="1"/>
  <c r="O153" i="1" s="1"/>
  <c r="N155" i="1" l="1"/>
  <c r="O154" i="1" s="1"/>
  <c r="N156" i="1" l="1"/>
  <c r="O155" i="1" s="1"/>
  <c r="N157" i="1" l="1"/>
  <c r="O156" i="1" s="1"/>
  <c r="N158" i="1" l="1"/>
  <c r="O157" i="1" s="1"/>
  <c r="N159" i="1" l="1"/>
  <c r="O158" i="1" s="1"/>
  <c r="N160" i="1" l="1"/>
  <c r="O159" i="1" s="1"/>
  <c r="N161" i="1" l="1"/>
  <c r="O160" i="1" s="1"/>
  <c r="N162" i="1" l="1"/>
  <c r="O161" i="1" s="1"/>
  <c r="N163" i="1" l="1"/>
  <c r="O162" i="1" s="1"/>
  <c r="N164" i="1" l="1"/>
  <c r="O163" i="1" s="1"/>
  <c r="N165" i="1" l="1"/>
  <c r="O164" i="1" s="1"/>
  <c r="N166" i="1" l="1"/>
  <c r="O165" i="1" s="1"/>
  <c r="N167" i="1" l="1"/>
  <c r="O166" i="1" s="1"/>
  <c r="N168" i="1" l="1"/>
  <c r="O167" i="1" s="1"/>
  <c r="N169" i="1" l="1"/>
  <c r="O168" i="1" s="1"/>
  <c r="N170" i="1" l="1"/>
  <c r="O169" i="1" s="1"/>
  <c r="N171" i="1" l="1"/>
  <c r="O170" i="1" s="1"/>
  <c r="N172" i="1" l="1"/>
  <c r="O171" i="1" s="1"/>
  <c r="N173" i="1" l="1"/>
  <c r="O172" i="1" s="1"/>
  <c r="N174" i="1" l="1"/>
  <c r="O173" i="1" s="1"/>
  <c r="N175" i="1" l="1"/>
  <c r="O174" i="1" s="1"/>
  <c r="N176" i="1" l="1"/>
  <c r="O175" i="1" s="1"/>
  <c r="N177" i="1" l="1"/>
  <c r="O176" i="1" s="1"/>
  <c r="N178" i="1" l="1"/>
  <c r="O177" i="1" s="1"/>
  <c r="N179" i="1" l="1"/>
  <c r="O178" i="1" s="1"/>
  <c r="N180" i="1" l="1"/>
  <c r="O179" i="1" s="1"/>
  <c r="N181" i="1" l="1"/>
  <c r="O180" i="1" s="1"/>
  <c r="N182" i="1" l="1"/>
  <c r="O181" i="1" s="1"/>
  <c r="N183" i="1" l="1"/>
  <c r="O182" i="1" s="1"/>
  <c r="N184" i="1" l="1"/>
  <c r="O183" i="1" s="1"/>
  <c r="N185" i="1" l="1"/>
  <c r="O184" i="1" s="1"/>
  <c r="N186" i="1" l="1"/>
  <c r="O185" i="1" s="1"/>
  <c r="N187" i="1" l="1"/>
  <c r="O186" i="1" s="1"/>
  <c r="N188" i="1" l="1"/>
  <c r="O187" i="1" s="1"/>
  <c r="N189" i="1" l="1"/>
  <c r="O188" i="1" s="1"/>
  <c r="N190" i="1" l="1"/>
  <c r="O189" i="1" s="1"/>
  <c r="N191" i="1" l="1"/>
  <c r="O190" i="1" s="1"/>
  <c r="N192" i="1" l="1"/>
  <c r="O191" i="1" s="1"/>
  <c r="N193" i="1" l="1"/>
  <c r="O192" i="1" s="1"/>
  <c r="N194" i="1" l="1"/>
  <c r="O193" i="1" s="1"/>
  <c r="N195" i="1" l="1"/>
  <c r="O194" i="1" s="1"/>
  <c r="N196" i="1" l="1"/>
  <c r="O195" i="1" s="1"/>
  <c r="N197" i="1" l="1"/>
  <c r="O196" i="1" s="1"/>
  <c r="N198" i="1" l="1"/>
  <c r="O197" i="1" s="1"/>
  <c r="N199" i="1" l="1"/>
  <c r="O198" i="1" s="1"/>
  <c r="N200" i="1" l="1"/>
  <c r="O199" i="1" s="1"/>
  <c r="N201" i="1" l="1"/>
  <c r="O200" i="1" s="1"/>
  <c r="N202" i="1" l="1"/>
  <c r="O201" i="1" s="1"/>
  <c r="N203" i="1" l="1"/>
  <c r="O202" i="1" s="1"/>
  <c r="N204" i="1" l="1"/>
  <c r="O203" i="1" s="1"/>
  <c r="N205" i="1" l="1"/>
  <c r="O204" i="1" s="1"/>
  <c r="N206" i="1" l="1"/>
  <c r="O205" i="1" s="1"/>
  <c r="N207" i="1" l="1"/>
  <c r="O206" i="1" s="1"/>
  <c r="N208" i="1" l="1"/>
  <c r="O207" i="1" s="1"/>
  <c r="N209" i="1" l="1"/>
  <c r="O208" i="1" s="1"/>
  <c r="N210" i="1" l="1"/>
  <c r="O209" i="1" s="1"/>
  <c r="N211" i="1" l="1"/>
  <c r="O210" i="1" s="1"/>
  <c r="N212" i="1" l="1"/>
  <c r="O211" i="1" s="1"/>
  <c r="N213" i="1" l="1"/>
  <c r="O212" i="1" s="1"/>
  <c r="N214" i="1" l="1"/>
  <c r="O213" i="1" s="1"/>
  <c r="N215" i="1" l="1"/>
  <c r="O214" i="1" s="1"/>
  <c r="N216" i="1" l="1"/>
  <c r="O215" i="1" s="1"/>
  <c r="N217" i="1" l="1"/>
  <c r="O216" i="1" s="1"/>
  <c r="N218" i="1" l="1"/>
  <c r="O217" i="1" s="1"/>
  <c r="N219" i="1" l="1"/>
  <c r="O218" i="1" s="1"/>
  <c r="N220" i="1" l="1"/>
  <c r="O219" i="1" s="1"/>
  <c r="N221" i="1" l="1"/>
  <c r="O220" i="1" s="1"/>
  <c r="N222" i="1" l="1"/>
  <c r="O221" i="1" s="1"/>
  <c r="N223" i="1" l="1"/>
  <c r="O222" i="1" s="1"/>
  <c r="N224" i="1" l="1"/>
  <c r="O223" i="1" s="1"/>
  <c r="N225" i="1" l="1"/>
  <c r="O224" i="1" s="1"/>
  <c r="N226" i="1" l="1"/>
  <c r="O225" i="1" s="1"/>
  <c r="N227" i="1" l="1"/>
  <c r="O226" i="1" s="1"/>
  <c r="N228" i="1" l="1"/>
  <c r="O227" i="1" s="1"/>
  <c r="N229" i="1" l="1"/>
  <c r="O228" i="1" s="1"/>
  <c r="N230" i="1" l="1"/>
  <c r="O229" i="1" s="1"/>
  <c r="N231" i="1" l="1"/>
  <c r="O230" i="1" s="1"/>
  <c r="N232" i="1" l="1"/>
  <c r="O231" i="1" s="1"/>
  <c r="N233" i="1" l="1"/>
  <c r="O232" i="1" s="1"/>
  <c r="N234" i="1" l="1"/>
  <c r="O233" i="1" s="1"/>
  <c r="N235" i="1" l="1"/>
  <c r="O234" i="1" s="1"/>
  <c r="N236" i="1" l="1"/>
  <c r="O235" i="1" s="1"/>
  <c r="N237" i="1" l="1"/>
  <c r="O236" i="1" s="1"/>
  <c r="N238" i="1" l="1"/>
  <c r="O237" i="1" s="1"/>
  <c r="N239" i="1" l="1"/>
  <c r="O238" i="1" s="1"/>
  <c r="N240" i="1" l="1"/>
  <c r="O239" i="1" s="1"/>
  <c r="N241" i="1" l="1"/>
  <c r="O240" i="1" s="1"/>
  <c r="N242" i="1" l="1"/>
  <c r="O241" i="1" s="1"/>
  <c r="N243" i="1" l="1"/>
  <c r="O242" i="1" s="1"/>
  <c r="N244" i="1" l="1"/>
  <c r="O243" i="1" s="1"/>
  <c r="N245" i="1" l="1"/>
  <c r="O244" i="1" s="1"/>
  <c r="N246" i="1" l="1"/>
  <c r="O245" i="1" s="1"/>
  <c r="N247" i="1" l="1"/>
  <c r="O246" i="1" s="1"/>
  <c r="N248" i="1" l="1"/>
  <c r="O247" i="1" s="1"/>
  <c r="N249" i="1" l="1"/>
  <c r="O248" i="1" s="1"/>
  <c r="N250" i="1" l="1"/>
  <c r="O249" i="1" s="1"/>
  <c r="N251" i="1" l="1"/>
  <c r="O250" i="1" s="1"/>
  <c r="N252" i="1" l="1"/>
  <c r="O251" i="1" s="1"/>
  <c r="N253" i="1" l="1"/>
  <c r="O252" i="1" s="1"/>
  <c r="N254" i="1" l="1"/>
  <c r="O253" i="1" s="1"/>
  <c r="N255" i="1" l="1"/>
  <c r="O254" i="1" s="1"/>
  <c r="N256" i="1" l="1"/>
  <c r="O255" i="1" s="1"/>
  <c r="N257" i="1" l="1"/>
  <c r="O256" i="1" s="1"/>
  <c r="N258" i="1" l="1"/>
  <c r="O257" i="1" s="1"/>
  <c r="N259" i="1" l="1"/>
  <c r="O258" i="1" s="1"/>
  <c r="N260" i="1" l="1"/>
  <c r="O259" i="1" s="1"/>
  <c r="N261" i="1" l="1"/>
  <c r="O260" i="1" s="1"/>
  <c r="N262" i="1" l="1"/>
  <c r="O261" i="1" s="1"/>
  <c r="N263" i="1" l="1"/>
  <c r="O262" i="1" s="1"/>
  <c r="N264" i="1" l="1"/>
  <c r="O263" i="1" s="1"/>
  <c r="N265" i="1" l="1"/>
  <c r="O264" i="1" s="1"/>
  <c r="N266" i="1" l="1"/>
  <c r="O265" i="1" s="1"/>
  <c r="N267" i="1" l="1"/>
  <c r="O266" i="1" s="1"/>
  <c r="N269" i="1" l="1"/>
  <c r="N268" i="1"/>
  <c r="O267" i="1" s="1"/>
  <c r="S17" i="1" l="1"/>
  <c r="O268" i="1"/>
  <c r="S16" i="1" s="1"/>
</calcChain>
</file>

<file path=xl/sharedStrings.xml><?xml version="1.0" encoding="utf-8"?>
<sst xmlns="http://schemas.openxmlformats.org/spreadsheetml/2006/main" count="349" uniqueCount="65">
  <si>
    <t>LU1598757687</t>
  </si>
  <si>
    <t>OPEN</t>
  </si>
  <si>
    <t>HIGHT</t>
  </si>
  <si>
    <t xml:space="preserve">LOW </t>
  </si>
  <si>
    <t>CLOSE</t>
  </si>
  <si>
    <t>NB EXCHANGE</t>
  </si>
  <si>
    <t>PRICE</t>
  </si>
  <si>
    <t>https://www,abcbourse,com/download/download,aspx?s=MTp</t>
  </si>
  <si>
    <t>PRICE RETURN</t>
  </si>
  <si>
    <t>alpha 0</t>
  </si>
  <si>
    <t>alpha 1</t>
  </si>
  <si>
    <t>beta 1</t>
  </si>
  <si>
    <t>eta 1</t>
  </si>
  <si>
    <t>eta 2</t>
  </si>
  <si>
    <t>log_likelihood</t>
  </si>
  <si>
    <t>variance of epsilon</t>
  </si>
  <si>
    <t>PREDICTED RETURNS</t>
  </si>
  <si>
    <t>log-likelihood</t>
  </si>
  <si>
    <t>Arcelor Mittal</t>
  </si>
  <si>
    <t>Innovative (𝜀)</t>
  </si>
  <si>
    <t>𝜎</t>
  </si>
  <si>
    <t>RESIDUAL OF THE AR PART (𝜎𝜀)</t>
  </si>
  <si>
    <t>Data source :</t>
  </si>
  <si>
    <t>DATES</t>
  </si>
  <si>
    <t>W1</t>
  </si>
  <si>
    <t>W2</t>
  </si>
  <si>
    <t>y</t>
  </si>
  <si>
    <t>e</t>
  </si>
  <si>
    <t>W1 updaté</t>
  </si>
  <si>
    <t>W2 updaté</t>
  </si>
  <si>
    <t>Prédiction OK</t>
  </si>
  <si>
    <t>SUCCES RATE</t>
  </si>
  <si>
    <t>All columns in Orange are created with VBA main()</t>
  </si>
  <si>
    <t>From date :</t>
  </si>
  <si>
    <t>to date :</t>
  </si>
  <si>
    <r>
      <t>Sigma</t>
    </r>
    <r>
      <rPr>
        <b/>
        <sz val="14"/>
        <color theme="0"/>
        <rFont val="Calibri (Corps)_x0000_"/>
      </rPr>
      <t>2</t>
    </r>
    <r>
      <rPr>
        <b/>
        <sz val="14"/>
        <color theme="0"/>
        <rFont val="Calibri"/>
        <family val="2"/>
        <scheme val="minor"/>
      </rPr>
      <t xml:space="preserve"> 0</t>
    </r>
  </si>
  <si>
    <t>Choose it :</t>
  </si>
  <si>
    <t>Sens prédition</t>
  </si>
  <si>
    <t>Additional way to analyse the result of this Perceptron</t>
  </si>
  <si>
    <t>Check here another way to assess the prediction. I'm not really sure, I tried to transform th Y predicted with a factor to scale it to the RETURN. I have chosen as a  decision  criterion a tolerance on the percentage of error.</t>
  </si>
  <si>
    <t>Chosen tolerance criterion (arbitrary) :</t>
  </si>
  <si>
    <t>NEW SUCCESS RATE</t>
  </si>
  <si>
    <t>Prediction OK</t>
  </si>
  <si>
    <t>Prediction</t>
  </si>
  <si>
    <t>s</t>
  </si>
  <si>
    <t>i (row) / j (column)</t>
  </si>
  <si>
    <t>k=1</t>
  </si>
  <si>
    <t>k=2</t>
  </si>
  <si>
    <t>k=3</t>
  </si>
  <si>
    <t xml:space="preserve"> Weights Matrix</t>
  </si>
  <si>
    <t>Weights-last Matrix</t>
  </si>
  <si>
    <t>Z Matrix</t>
  </si>
  <si>
    <t>e Matrix</t>
  </si>
  <si>
    <t xml:space="preserve">i (row) </t>
  </si>
  <si>
    <t xml:space="preserve">SAVED DATA - SAVED DATA - SAVED DATA - SAVED DATA - SAVED DATA </t>
  </si>
  <si>
    <t>Return</t>
  </si>
  <si>
    <t>Y transformed</t>
  </si>
  <si>
    <t>Error</t>
  </si>
  <si>
    <t>Ò</t>
  </si>
  <si>
    <t>Sigma</t>
  </si>
  <si>
    <t>j (row) / k (column)</t>
  </si>
  <si>
    <t>(2+1) = 3</t>
  </si>
  <si>
    <t>Prediction Sens</t>
  </si>
  <si>
    <t>However, this kind of evaluation was not satisfying (too much arbitrary and did not took the sens of the prediction). So I just focused on the sens of the prediction. If the transformed Y multiplicated by the real return value is positive, the sens of the prediction is correct, so the prediction is considered OK. (just tot ry not use in other sheets)</t>
  </si>
  <si>
    <t>AR-GARCH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</si>
</sst>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E+00"/>
    <numFmt numFmtId="165" formatCode="0.0E+00"/>
    <numFmt numFmtId="166" formatCode="dd\ mm\ yyyy"/>
    <numFmt numFmtId="167" formatCode="0.0%"/>
  </numFmts>
  <fonts count="3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 (Corps)_x0000_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 (Corps)_x0000_"/>
    </font>
    <font>
      <sz val="12"/>
      <color rgb="FFC00000"/>
      <name val="Calibri"/>
      <family val="2"/>
      <scheme val="minor"/>
    </font>
    <font>
      <sz val="28"/>
      <color theme="1" tint="4.9989318521683403E-2"/>
      <name val="Calibri"/>
      <family val="2"/>
      <scheme val="minor"/>
    </font>
    <font>
      <sz val="16"/>
      <color theme="1" tint="4.9989318521683403E-2"/>
      <name val="Calibri"/>
      <family val="2"/>
      <scheme val="minor"/>
    </font>
    <font>
      <b/>
      <sz val="12"/>
      <color theme="0"/>
      <name val="Calibri (Corps)_x0000_"/>
    </font>
    <font>
      <sz val="12"/>
      <color rgb="FF000000"/>
      <name val="Calibri"/>
      <family val="2"/>
      <scheme val="minor"/>
    </font>
    <font>
      <sz val="12"/>
      <color rgb="FFED7D31"/>
      <name val="Calibri"/>
      <family val="2"/>
      <scheme val="minor"/>
    </font>
    <font>
      <sz val="24"/>
      <color theme="0"/>
      <name val="Calibri (Corps)_x0000_"/>
    </font>
    <font>
      <sz val="12"/>
      <color theme="2" tint="-9.9978637043366805E-2"/>
      <name val="Calibri"/>
      <family val="2"/>
      <scheme val="minor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DAE1F0"/>
        <bgColor indexed="64"/>
      </patternFill>
    </fill>
    <fill>
      <patternFill patternType="solid">
        <fgColor rgb="FFF8E4D8"/>
        <bgColor indexed="64"/>
      </patternFill>
    </fill>
    <fill>
      <patternFill patternType="solid">
        <fgColor rgb="FFC658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2BBA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AC1A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DF1D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DDCC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60">
    <xf numFmtId="0" fontId="0" fillId="0" borderId="0" xfId="0"/>
    <xf numFmtId="49" fontId="0" fillId="0" borderId="10" xfId="0" applyNumberFormat="1" applyBorder="1"/>
    <xf numFmtId="0" fontId="0" fillId="0" borderId="10" xfId="0" applyBorder="1" applyAlignment="1">
      <alignment horizontal="center"/>
    </xf>
    <xf numFmtId="0" fontId="0" fillId="33" borderId="1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35" borderId="10" xfId="0" applyFill="1" applyBorder="1"/>
    <xf numFmtId="0" fontId="0" fillId="36" borderId="0" xfId="0" applyFill="1" applyAlignment="1">
      <alignment horizontal="center"/>
    </xf>
    <xf numFmtId="0" fontId="0" fillId="0" borderId="0" xfId="0" applyFill="1" applyBorder="1"/>
    <xf numFmtId="0" fontId="0" fillId="0" borderId="0" xfId="0" applyFill="1"/>
    <xf numFmtId="11" fontId="0" fillId="0" borderId="10" xfId="0" applyNumberForma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49" fontId="0" fillId="0" borderId="0" xfId="0" applyNumberFormat="1"/>
    <xf numFmtId="14" fontId="0" fillId="0" borderId="0" xfId="0" applyNumberFormat="1" applyAlignment="1">
      <alignment horizontal="center"/>
    </xf>
    <xf numFmtId="166" fontId="0" fillId="35" borderId="10" xfId="0" applyNumberFormat="1" applyFill="1" applyBorder="1"/>
    <xf numFmtId="166" fontId="0" fillId="0" borderId="10" xfId="0" applyNumberFormat="1" applyBorder="1"/>
    <xf numFmtId="166" fontId="0" fillId="0" borderId="0" xfId="0" applyNumberFormat="1"/>
    <xf numFmtId="0" fontId="17" fillId="37" borderId="10" xfId="0" applyFont="1" applyFill="1" applyBorder="1" applyAlignment="1">
      <alignment horizontal="center" vertical="center"/>
    </xf>
    <xf numFmtId="166" fontId="17" fillId="37" borderId="10" xfId="0" applyNumberFormat="1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7" fillId="39" borderId="10" xfId="0" applyFont="1" applyFill="1" applyBorder="1" applyAlignment="1">
      <alignment horizontal="center" vertical="center"/>
    </xf>
    <xf numFmtId="0" fontId="20" fillId="40" borderId="10" xfId="0" applyFont="1" applyFill="1" applyBorder="1" applyAlignment="1">
      <alignment horizontal="center" vertical="center"/>
    </xf>
    <xf numFmtId="0" fontId="0" fillId="35" borderId="0" xfId="0" applyFill="1"/>
    <xf numFmtId="0" fontId="0" fillId="35" borderId="0" xfId="0" applyFill="1" applyBorder="1"/>
    <xf numFmtId="0" fontId="20" fillId="35" borderId="0" xfId="0" applyFont="1" applyFill="1" applyBorder="1" applyAlignment="1">
      <alignment horizontal="center" vertical="center"/>
    </xf>
    <xf numFmtId="0" fontId="22" fillId="40" borderId="10" xfId="0" applyFont="1" applyFill="1" applyBorder="1" applyAlignment="1">
      <alignment horizontal="center" vertical="center"/>
    </xf>
    <xf numFmtId="0" fontId="0" fillId="35" borderId="19" xfId="0" applyFill="1" applyBorder="1"/>
    <xf numFmtId="0" fontId="0" fillId="35" borderId="20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15" xfId="0" applyFill="1" applyBorder="1"/>
    <xf numFmtId="0" fontId="23" fillId="35" borderId="15" xfId="0" applyFont="1" applyFill="1" applyBorder="1" applyAlignment="1">
      <alignment horizontal="center" vertical="center"/>
    </xf>
    <xf numFmtId="0" fontId="0" fillId="35" borderId="18" xfId="0" applyFill="1" applyBorder="1"/>
    <xf numFmtId="0" fontId="0" fillId="35" borderId="21" xfId="0" applyFill="1" applyBorder="1"/>
    <xf numFmtId="0" fontId="0" fillId="35" borderId="16" xfId="0" applyFill="1" applyBorder="1"/>
    <xf numFmtId="0" fontId="20" fillId="41" borderId="10" xfId="0" applyFont="1" applyFill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35" borderId="0" xfId="0" applyNumberFormat="1" applyFill="1" applyBorder="1" applyAlignment="1">
      <alignment horizontal="center" vertical="center"/>
    </xf>
    <xf numFmtId="2" fontId="0" fillId="35" borderId="0" xfId="0" applyNumberFormat="1" applyFill="1" applyBorder="1" applyAlignment="1">
      <alignment horizontal="center" vertical="center"/>
    </xf>
    <xf numFmtId="11" fontId="25" fillId="0" borderId="10" xfId="0" applyNumberFormat="1" applyFont="1" applyBorder="1" applyAlignment="1">
      <alignment horizontal="center" vertical="center"/>
    </xf>
    <xf numFmtId="0" fontId="21" fillId="34" borderId="11" xfId="0" applyFont="1" applyFill="1" applyBorder="1" applyAlignment="1">
      <alignment horizontal="center" vertical="center"/>
    </xf>
    <xf numFmtId="14" fontId="21" fillId="0" borderId="10" xfId="0" applyNumberFormat="1" applyFont="1" applyFill="1" applyBorder="1" applyAlignment="1">
      <alignment horizontal="center" vertical="center"/>
    </xf>
    <xf numFmtId="0" fontId="19" fillId="35" borderId="14" xfId="0" applyFont="1" applyFill="1" applyBorder="1" applyAlignment="1">
      <alignment horizontal="center" vertical="center"/>
    </xf>
    <xf numFmtId="0" fontId="0" fillId="35" borderId="14" xfId="0" applyFont="1" applyFill="1" applyBorder="1" applyAlignment="1">
      <alignment horizontal="center" vertical="center"/>
    </xf>
    <xf numFmtId="0" fontId="17" fillId="4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167" fontId="26" fillId="0" borderId="0" xfId="0" applyNumberFormat="1" applyFont="1" applyFill="1" applyBorder="1" applyAlignment="1">
      <alignment horizontal="center" vertical="center"/>
    </xf>
    <xf numFmtId="167" fontId="27" fillId="35" borderId="10" xfId="0" applyNumberFormat="1" applyFont="1" applyFill="1" applyBorder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166" fontId="17" fillId="40" borderId="10" xfId="0" applyNumberFormat="1" applyFont="1" applyFill="1" applyBorder="1" applyAlignment="1">
      <alignment horizontal="center" vertical="center"/>
    </xf>
    <xf numFmtId="0" fontId="0" fillId="43" borderId="10" xfId="0" applyFill="1" applyBorder="1" applyAlignment="1">
      <alignment horizontal="center" vertical="center"/>
    </xf>
    <xf numFmtId="0" fontId="17" fillId="44" borderId="10" xfId="0" applyFont="1" applyFill="1" applyBorder="1" applyAlignment="1">
      <alignment horizontal="center" vertical="center"/>
    </xf>
    <xf numFmtId="0" fontId="0" fillId="46" borderId="10" xfId="0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14" xfId="0" applyBorder="1" applyAlignment="1"/>
    <xf numFmtId="0" fontId="0" fillId="38" borderId="22" xfId="0" applyNumberFormat="1" applyFill="1" applyBorder="1" applyAlignment="1">
      <alignment horizontal="center" vertical="center"/>
    </xf>
    <xf numFmtId="167" fontId="0" fillId="45" borderId="18" xfId="0" applyNumberFormat="1" applyFill="1" applyBorder="1" applyAlignment="1">
      <alignment horizontal="center" vertical="center"/>
    </xf>
    <xf numFmtId="0" fontId="0" fillId="47" borderId="19" xfId="0" applyFill="1" applyBorder="1" applyAlignment="1"/>
    <xf numFmtId="0" fontId="0" fillId="47" borderId="20" xfId="0" applyFill="1" applyBorder="1" applyAlignment="1"/>
    <xf numFmtId="0" fontId="0" fillId="47" borderId="13" xfId="0" applyFill="1" applyBorder="1" applyAlignment="1"/>
    <xf numFmtId="0" fontId="0" fillId="47" borderId="18" xfId="0" applyFill="1" applyBorder="1" applyAlignment="1"/>
    <xf numFmtId="0" fontId="0" fillId="47" borderId="21" xfId="0" applyFill="1" applyBorder="1" applyAlignment="1"/>
    <xf numFmtId="0" fontId="0" fillId="47" borderId="16" xfId="0" applyFill="1" applyBorder="1" applyAlignment="1"/>
    <xf numFmtId="0" fontId="0" fillId="47" borderId="19" xfId="0" applyFill="1" applyBorder="1"/>
    <xf numFmtId="0" fontId="0" fillId="47" borderId="20" xfId="0" applyFill="1" applyBorder="1"/>
    <xf numFmtId="0" fontId="0" fillId="47" borderId="13" xfId="0" applyFill="1" applyBorder="1"/>
    <xf numFmtId="0" fontId="0" fillId="47" borderId="18" xfId="0" applyFill="1" applyBorder="1"/>
    <xf numFmtId="0" fontId="0" fillId="47" borderId="21" xfId="0" applyFill="1" applyBorder="1"/>
    <xf numFmtId="0" fontId="0" fillId="47" borderId="16" xfId="0" applyFill="1" applyBorder="1"/>
    <xf numFmtId="167" fontId="0" fillId="45" borderId="23" xfId="0" applyNumberFormat="1" applyFill="1" applyBorder="1"/>
    <xf numFmtId="0" fontId="23" fillId="0" borderId="0" xfId="0" applyFont="1" applyFill="1" applyBorder="1" applyAlignment="1">
      <alignment horizontal="center" vertical="center"/>
    </xf>
    <xf numFmtId="14" fontId="21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/>
    <xf numFmtId="167" fontId="0" fillId="0" borderId="0" xfId="0" applyNumberFormat="1" applyFill="1" applyBorder="1" applyAlignment="1">
      <alignment horizontal="center" vertical="center"/>
    </xf>
    <xf numFmtId="0" fontId="0" fillId="42" borderId="0" xfId="0" applyFill="1" applyBorder="1" applyAlignment="1">
      <alignment horizontal="center" vertical="center"/>
    </xf>
    <xf numFmtId="0" fontId="0" fillId="48" borderId="0" xfId="0" applyFill="1" applyBorder="1" applyAlignment="1">
      <alignment horizontal="center" vertical="center"/>
    </xf>
    <xf numFmtId="0" fontId="0" fillId="48" borderId="13" xfId="0" applyFill="1" applyBorder="1" applyAlignment="1">
      <alignment horizontal="center" vertical="center"/>
    </xf>
    <xf numFmtId="0" fontId="0" fillId="48" borderId="15" xfId="0" applyFill="1" applyBorder="1" applyAlignment="1">
      <alignment horizontal="center" vertical="center"/>
    </xf>
    <xf numFmtId="0" fontId="0" fillId="48" borderId="20" xfId="0" applyFill="1" applyBorder="1" applyAlignment="1">
      <alignment horizontal="center" vertical="center"/>
    </xf>
    <xf numFmtId="0" fontId="0" fillId="48" borderId="21" xfId="0" applyFill="1" applyBorder="1" applyAlignment="1">
      <alignment horizontal="center" vertical="center"/>
    </xf>
    <xf numFmtId="0" fontId="0" fillId="48" borderId="16" xfId="0" applyFill="1" applyBorder="1" applyAlignment="1">
      <alignment horizontal="center" vertical="center"/>
    </xf>
    <xf numFmtId="0" fontId="0" fillId="0" borderId="14" xfId="0" applyFill="1" applyBorder="1"/>
    <xf numFmtId="0" fontId="0" fillId="0" borderId="20" xfId="0" applyBorder="1" applyAlignment="1">
      <alignment horizontal="center" vertical="center"/>
    </xf>
    <xf numFmtId="0" fontId="0" fillId="0" borderId="0" xfId="0" applyBorder="1"/>
    <xf numFmtId="0" fontId="0" fillId="0" borderId="10" xfId="0" applyBorder="1"/>
    <xf numFmtId="0" fontId="0" fillId="49" borderId="10" xfId="0" applyFill="1" applyBorder="1" applyAlignment="1">
      <alignment horizontal="center" vertical="center"/>
    </xf>
    <xf numFmtId="0" fontId="0" fillId="55" borderId="10" xfId="0" applyFill="1" applyBorder="1" applyAlignment="1">
      <alignment horizontal="center" vertical="center"/>
    </xf>
    <xf numFmtId="0" fontId="0" fillId="52" borderId="23" xfId="0" applyFill="1" applyBorder="1" applyAlignment="1">
      <alignment horizontal="center" vertical="center"/>
    </xf>
    <xf numFmtId="0" fontId="17" fillId="51" borderId="14" xfId="0" applyFont="1" applyFill="1" applyBorder="1" applyAlignment="1">
      <alignment horizontal="center" vertical="center"/>
    </xf>
    <xf numFmtId="0" fontId="17" fillId="51" borderId="0" xfId="0" applyFont="1" applyFill="1" applyBorder="1" applyAlignment="1">
      <alignment horizontal="center" vertical="center"/>
    </xf>
    <xf numFmtId="0" fontId="0" fillId="51" borderId="0" xfId="0" applyFill="1" applyBorder="1" applyAlignment="1">
      <alignment horizontal="center"/>
    </xf>
    <xf numFmtId="0" fontId="0" fillId="51" borderId="15" xfId="0" applyFill="1" applyBorder="1" applyAlignment="1">
      <alignment horizontal="center"/>
    </xf>
    <xf numFmtId="0" fontId="17" fillId="51" borderId="18" xfId="0" applyFont="1" applyFill="1" applyBorder="1" applyAlignment="1">
      <alignment horizontal="center" vertical="center"/>
    </xf>
    <xf numFmtId="0" fontId="17" fillId="51" borderId="21" xfId="0" applyFont="1" applyFill="1" applyBorder="1" applyAlignment="1">
      <alignment horizontal="center" vertical="center"/>
    </xf>
    <xf numFmtId="0" fontId="0" fillId="51" borderId="21" xfId="0" applyFill="1" applyBorder="1" applyAlignment="1">
      <alignment horizontal="center"/>
    </xf>
    <xf numFmtId="0" fontId="0" fillId="51" borderId="16" xfId="0" applyFill="1" applyBorder="1" applyAlignment="1">
      <alignment horizontal="center"/>
    </xf>
    <xf numFmtId="0" fontId="0" fillId="51" borderId="14" xfId="0" applyFont="1" applyFill="1" applyBorder="1" applyAlignment="1">
      <alignment horizontal="center"/>
    </xf>
    <xf numFmtId="0" fontId="0" fillId="57" borderId="10" xfId="0" applyFont="1" applyFill="1" applyBorder="1" applyAlignment="1">
      <alignment horizontal="center" vertical="center"/>
    </xf>
    <xf numFmtId="167" fontId="0" fillId="57" borderId="10" xfId="0" applyNumberFormat="1" applyFont="1" applyFill="1" applyBorder="1" applyAlignment="1">
      <alignment horizontal="center" vertical="center"/>
    </xf>
    <xf numFmtId="0" fontId="0" fillId="57" borderId="10" xfId="0" applyFill="1" applyBorder="1" applyAlignment="1">
      <alignment horizontal="center" vertical="center"/>
    </xf>
    <xf numFmtId="0" fontId="0" fillId="58" borderId="0" xfId="0" applyFont="1" applyFill="1" applyBorder="1"/>
    <xf numFmtId="167" fontId="0" fillId="58" borderId="0" xfId="0" applyNumberFormat="1" applyFill="1" applyBorder="1" applyAlignment="1">
      <alignment horizontal="center" vertical="center"/>
    </xf>
    <xf numFmtId="0" fontId="0" fillId="58" borderId="0" xfId="0" applyFill="1" applyBorder="1"/>
    <xf numFmtId="0" fontId="0" fillId="57" borderId="10" xfId="0" applyFont="1" applyFill="1" applyBorder="1"/>
    <xf numFmtId="167" fontId="0" fillId="57" borderId="10" xfId="0" applyNumberFormat="1" applyFill="1" applyBorder="1" applyAlignment="1">
      <alignment horizontal="center" vertical="center"/>
    </xf>
    <xf numFmtId="0" fontId="0" fillId="57" borderId="10" xfId="0" applyFill="1" applyBorder="1"/>
    <xf numFmtId="0" fontId="0" fillId="46" borderId="10" xfId="0" applyFill="1" applyBorder="1"/>
    <xf numFmtId="0" fontId="22" fillId="44" borderId="10" xfId="0" applyFont="1" applyFill="1" applyBorder="1" applyAlignment="1">
      <alignment horizontal="center" vertical="center"/>
    </xf>
    <xf numFmtId="0" fontId="17" fillId="48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0" fillId="0" borderId="0" xfId="0" applyFont="1"/>
    <xf numFmtId="10" fontId="23" fillId="35" borderId="10" xfId="0" applyNumberFormat="1" applyFont="1" applyFill="1" applyBorder="1" applyAlignment="1">
      <alignment horizontal="center" vertical="center"/>
    </xf>
    <xf numFmtId="11" fontId="0" fillId="59" borderId="10" xfId="0" applyNumberFormat="1" applyFill="1" applyBorder="1" applyAlignment="1">
      <alignment horizontal="center" vertical="center"/>
    </xf>
    <xf numFmtId="11" fontId="0" fillId="46" borderId="10" xfId="0" applyNumberFormat="1" applyFill="1" applyBorder="1" applyAlignment="1">
      <alignment horizontal="center" vertical="center"/>
    </xf>
    <xf numFmtId="0" fontId="0" fillId="35" borderId="10" xfId="0" applyNumberFormat="1" applyFill="1" applyBorder="1" applyAlignment="1">
      <alignment horizontal="center" vertical="center"/>
    </xf>
    <xf numFmtId="0" fontId="18" fillId="36" borderId="10" xfId="42" applyFill="1" applyBorder="1" applyAlignment="1"/>
    <xf numFmtId="0" fontId="0" fillId="36" borderId="10" xfId="0" applyFill="1" applyBorder="1" applyAlignment="1"/>
    <xf numFmtId="0" fontId="0" fillId="45" borderId="10" xfId="0" applyFill="1" applyBorder="1" applyAlignment="1">
      <alignment wrapText="1"/>
    </xf>
    <xf numFmtId="0" fontId="17" fillId="40" borderId="23" xfId="0" applyFont="1" applyFill="1" applyBorder="1" applyAlignment="1">
      <alignment horizontal="center" vertical="center" wrapText="1"/>
    </xf>
    <xf numFmtId="0" fontId="17" fillId="40" borderId="23" xfId="0" applyFont="1" applyFill="1" applyBorder="1" applyAlignment="1">
      <alignment horizontal="center" vertical="center"/>
    </xf>
    <xf numFmtId="0" fontId="17" fillId="40" borderId="11" xfId="0" applyFont="1" applyFill="1" applyBorder="1" applyAlignment="1">
      <alignment horizontal="center" vertical="center"/>
    </xf>
    <xf numFmtId="0" fontId="17" fillId="40" borderId="17" xfId="0" applyFont="1" applyFill="1" applyBorder="1" applyAlignment="1">
      <alignment horizontal="center" vertical="center"/>
    </xf>
    <xf numFmtId="0" fontId="17" fillId="40" borderId="12" xfId="0" applyFont="1" applyFill="1" applyBorder="1" applyAlignment="1">
      <alignment horizontal="center" vertical="center"/>
    </xf>
    <xf numFmtId="0" fontId="17" fillId="40" borderId="10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40" borderId="22" xfId="0" applyFont="1" applyFill="1" applyBorder="1" applyAlignment="1">
      <alignment horizontal="center" vertical="center"/>
    </xf>
    <xf numFmtId="0" fontId="17" fillId="39" borderId="10" xfId="0" applyFont="1" applyFill="1" applyBorder="1" applyAlignment="1">
      <alignment horizontal="center" vertical="center"/>
    </xf>
    <xf numFmtId="0" fontId="0" fillId="39" borderId="10" xfId="0" applyFill="1" applyBorder="1" applyAlignment="1">
      <alignment horizontal="center"/>
    </xf>
    <xf numFmtId="0" fontId="0" fillId="50" borderId="10" xfId="0" applyFill="1" applyBorder="1" applyAlignment="1">
      <alignment horizontal="center" vertical="center"/>
    </xf>
    <xf numFmtId="0" fontId="28" fillId="56" borderId="21" xfId="0" applyFont="1" applyFill="1" applyBorder="1" applyAlignment="1">
      <alignment horizontal="center"/>
    </xf>
    <xf numFmtId="0" fontId="0" fillId="56" borderId="21" xfId="0" applyFill="1" applyBorder="1" applyAlignment="1">
      <alignment horizontal="center"/>
    </xf>
    <xf numFmtId="0" fontId="0" fillId="36" borderId="10" xfId="0" applyFill="1" applyBorder="1" applyAlignment="1">
      <alignment horizontal="center"/>
    </xf>
    <xf numFmtId="0" fontId="0" fillId="50" borderId="10" xfId="0" applyFill="1" applyBorder="1" applyAlignment="1">
      <alignment horizontal="center"/>
    </xf>
    <xf numFmtId="0" fontId="17" fillId="53" borderId="10" xfId="0" applyFont="1" applyFill="1" applyBorder="1" applyAlignment="1">
      <alignment horizontal="center" vertical="center"/>
    </xf>
    <xf numFmtId="0" fontId="0" fillId="53" borderId="11" xfId="0" applyFill="1" applyBorder="1" applyAlignment="1">
      <alignment horizontal="center"/>
    </xf>
    <xf numFmtId="0" fontId="0" fillId="53" borderId="17" xfId="0" applyFill="1" applyBorder="1" applyAlignment="1">
      <alignment horizontal="center"/>
    </xf>
    <xf numFmtId="0" fontId="0" fillId="53" borderId="12" xfId="0" applyFill="1" applyBorder="1" applyAlignment="1">
      <alignment horizontal="center"/>
    </xf>
    <xf numFmtId="0" fontId="0" fillId="54" borderId="10" xfId="0" applyFill="1" applyBorder="1" applyAlignment="1">
      <alignment horizontal="center" vertical="center"/>
    </xf>
    <xf numFmtId="0" fontId="0" fillId="51" borderId="10" xfId="0" applyFill="1" applyBorder="1" applyAlignment="1">
      <alignment horizontal="center"/>
    </xf>
    <xf numFmtId="0" fontId="0" fillId="45" borderId="10" xfId="0" applyFill="1" applyBorder="1" applyAlignment="1">
      <alignment horizontal="center" vertical="center"/>
    </xf>
    <xf numFmtId="0" fontId="17" fillId="44" borderId="11" xfId="0" applyFont="1" applyFill="1" applyBorder="1" applyAlignment="1">
      <alignment horizontal="center" vertical="center"/>
    </xf>
    <xf numFmtId="11" fontId="0" fillId="46" borderId="11" xfId="0" applyNumberFormat="1" applyFont="1" applyFill="1" applyBorder="1" applyAlignment="1">
      <alignment horizontal="center" vertical="center"/>
    </xf>
    <xf numFmtId="11" fontId="0" fillId="59" borderId="11" xfId="0" applyNumberFormat="1" applyFill="1" applyBorder="1" applyAlignment="1">
      <alignment horizontal="center" vertical="center"/>
    </xf>
    <xf numFmtId="0" fontId="17" fillId="0" borderId="14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horizontal="center" vertical="center"/>
    </xf>
    <xf numFmtId="11" fontId="0" fillId="0" borderId="0" xfId="0" applyNumberFormat="1" applyFont="1" applyFill="1" applyBorder="1" applyAlignment="1">
      <alignment horizontal="center" vertical="center"/>
    </xf>
    <xf numFmtId="11" fontId="0" fillId="0" borderId="0" xfId="0" applyNumberFormat="1" applyFill="1" applyBorder="1" applyAlignment="1">
      <alignment horizontal="center" vertical="center"/>
    </xf>
    <xf numFmtId="11" fontId="0" fillId="0" borderId="14" xfId="0" applyNumberFormat="1" applyFont="1" applyFill="1" applyBorder="1" applyAlignment="1">
      <alignment horizontal="center" vertical="center"/>
    </xf>
    <xf numFmtId="0" fontId="31" fillId="60" borderId="10" xfId="0" applyFont="1" applyFill="1" applyBorder="1" applyAlignment="1">
      <alignment horizontal="center"/>
    </xf>
    <xf numFmtId="0" fontId="17" fillId="60" borderId="1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/>
    <xf numFmtId="0" fontId="32" fillId="0" borderId="0" xfId="0" applyFont="1" applyFill="1" applyBorder="1"/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249E11D8-BAA5-443C-ADFE-8D53B4575CD0}">
      <tableStyleElement type="wholeTable" dxfId="1"/>
      <tableStyleElement type="headerRow" dxfId="0"/>
    </tableStyle>
  </tableStyles>
  <colors>
    <mruColors>
      <color rgb="FFC65811"/>
      <color rgb="FFCAC1A8"/>
      <color rgb="FFFBEBA8"/>
      <color rgb="FFD9E1F2"/>
      <color rgb="FF92D14F"/>
      <color rgb="FFFC5C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381000</xdr:colOff>
          <xdr:row>7</xdr:row>
          <xdr:rowOff>88900</xdr:rowOff>
        </xdr:from>
        <xdr:to>
          <xdr:col>21</xdr:col>
          <xdr:colOff>723900</xdr:colOff>
          <xdr:row>10</xdr:row>
          <xdr:rowOff>101600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Variables's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393700</xdr:colOff>
          <xdr:row>11</xdr:row>
          <xdr:rowOff>127000</xdr:rowOff>
        </xdr:from>
        <xdr:to>
          <xdr:col>21</xdr:col>
          <xdr:colOff>736600</xdr:colOff>
          <xdr:row>14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Automatic 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1016000</xdr:colOff>
          <xdr:row>11</xdr:row>
          <xdr:rowOff>88900</xdr:rowOff>
        </xdr:from>
        <xdr:to>
          <xdr:col>16</xdr:col>
          <xdr:colOff>0</xdr:colOff>
          <xdr:row>13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ED7D31"/>
                  </a:solidFill>
                  <a:latin typeface="Calibri" pitchFamily="2" charset="0"/>
                  <a:cs typeface="Calibri" pitchFamily="2" charset="0"/>
                </a:rPr>
                <a:t>Complete the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1016000</xdr:colOff>
          <xdr:row>6</xdr:row>
          <xdr:rowOff>101600</xdr:rowOff>
        </xdr:from>
        <xdr:to>
          <xdr:col>16</xdr:col>
          <xdr:colOff>25400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812800</xdr:colOff>
          <xdr:row>26</xdr:row>
          <xdr:rowOff>203200</xdr:rowOff>
        </xdr:from>
        <xdr:to>
          <xdr:col>16</xdr:col>
          <xdr:colOff>0</xdr:colOff>
          <xdr:row>29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2nd Assesment Tab (at the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</xdr:colOff>
          <xdr:row>27</xdr:row>
          <xdr:rowOff>12700</xdr:rowOff>
        </xdr:from>
        <xdr:to>
          <xdr:col>17</xdr:col>
          <xdr:colOff>0</xdr:colOff>
          <xdr:row>28</xdr:row>
          <xdr:rowOff>190500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25400</xdr:colOff>
          <xdr:row>36</xdr:row>
          <xdr:rowOff>12700</xdr:rowOff>
        </xdr:from>
        <xdr:to>
          <xdr:col>16</xdr:col>
          <xdr:colOff>1028700</xdr:colOff>
          <xdr:row>38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36</xdr:row>
          <xdr:rowOff>0</xdr:rowOff>
        </xdr:from>
        <xdr:to>
          <xdr:col>16</xdr:col>
          <xdr:colOff>38100</xdr:colOff>
          <xdr:row>37</xdr:row>
          <xdr:rowOff>190500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3rd Assesment Tab (at the right)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812800</xdr:colOff>
          <xdr:row>1</xdr:row>
          <xdr:rowOff>152400</xdr:rowOff>
        </xdr:from>
        <xdr:to>
          <xdr:col>13</xdr:col>
          <xdr:colOff>1041400</xdr:colOff>
          <xdr:row>3</xdr:row>
          <xdr:rowOff>127000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6</xdr:row>
          <xdr:rowOff>139700</xdr:rowOff>
        </xdr:from>
        <xdr:to>
          <xdr:col>14</xdr:col>
          <xdr:colOff>12700</xdr:colOff>
          <xdr:row>8</xdr:row>
          <xdr:rowOff>88900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Complete the tab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abcbourse.com/download/download.aspx?s=MTp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W279"/>
  <sheetViews>
    <sheetView zoomScale="89" workbookViewId="0">
      <selection activeCell="L5" sqref="L5"/>
    </sheetView>
  </sheetViews>
  <sheetFormatPr baseColWidth="10" defaultRowHeight="16"/>
  <cols>
    <col min="1" max="1" width="13.6640625" customWidth="1"/>
    <col min="2" max="2" width="25.1640625" style="17" bestFit="1" customWidth="1"/>
    <col min="3" max="3" width="10.83203125" style="13"/>
    <col min="4" max="7" width="10.83203125" style="4"/>
    <col min="8" max="8" width="15.1640625" style="4" customWidth="1"/>
    <col min="9" max="9" width="10.83203125" style="4"/>
    <col min="10" max="10" width="13.6640625" style="4" customWidth="1"/>
    <col min="11" max="11" width="19" style="4" customWidth="1"/>
    <col min="12" max="12" width="27.5" style="4" customWidth="1"/>
    <col min="13" max="13" width="10.83203125" style="4"/>
    <col min="14" max="14" width="16.1640625" style="4" customWidth="1"/>
    <col min="15" max="15" width="14.6640625" style="4" customWidth="1"/>
    <col min="16" max="16" width="5" style="9" customWidth="1"/>
    <col min="17" max="17" width="4.5" customWidth="1"/>
    <col min="18" max="18" width="20.83203125" customWidth="1"/>
    <col min="19" max="19" width="20.5" customWidth="1"/>
    <col min="23" max="23" width="3.1640625" customWidth="1"/>
  </cols>
  <sheetData>
    <row r="1" spans="1:23">
      <c r="A1" s="6" t="s">
        <v>18</v>
      </c>
      <c r="B1" s="15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8</v>
      </c>
      <c r="K1" s="3" t="s">
        <v>16</v>
      </c>
      <c r="L1" s="3" t="s">
        <v>21</v>
      </c>
      <c r="M1" s="3" t="s">
        <v>20</v>
      </c>
      <c r="N1" s="3" t="s">
        <v>19</v>
      </c>
      <c r="O1" s="3" t="s">
        <v>17</v>
      </c>
      <c r="P1" s="157"/>
      <c r="Q1" s="158"/>
      <c r="R1" s="155" t="s">
        <v>64</v>
      </c>
      <c r="S1" s="156"/>
      <c r="T1" s="156"/>
      <c r="U1" s="156"/>
      <c r="V1" s="156"/>
    </row>
    <row r="2" spans="1:23">
      <c r="A2" s="1" t="s">
        <v>0</v>
      </c>
      <c r="B2" s="16">
        <v>43040</v>
      </c>
      <c r="D2" s="2">
        <v>25.011900000000001</v>
      </c>
      <c r="E2" s="5">
        <v>25.011900000000001</v>
      </c>
      <c r="F2" s="2">
        <v>25.011900000000001</v>
      </c>
      <c r="G2" s="2">
        <v>25.31</v>
      </c>
      <c r="H2" s="2">
        <v>7337320</v>
      </c>
      <c r="I2" s="2">
        <v>25.31</v>
      </c>
      <c r="J2" s="7"/>
      <c r="K2" s="7"/>
      <c r="L2" s="7"/>
      <c r="M2" s="7"/>
      <c r="N2" s="7"/>
      <c r="O2" s="7"/>
      <c r="P2" s="157"/>
      <c r="Q2" s="158"/>
      <c r="R2" s="156"/>
      <c r="S2" s="156"/>
      <c r="T2" s="156"/>
      <c r="U2" s="156"/>
      <c r="V2" s="156"/>
    </row>
    <row r="3" spans="1:23">
      <c r="A3" s="1" t="s">
        <v>0</v>
      </c>
      <c r="B3" s="16">
        <v>43041</v>
      </c>
      <c r="D3" s="2">
        <v>25.4</v>
      </c>
      <c r="E3" s="5">
        <v>25.545000000000002</v>
      </c>
      <c r="F3" s="2">
        <v>25.23</v>
      </c>
      <c r="G3" s="2">
        <v>25.45</v>
      </c>
      <c r="H3" s="2">
        <v>3977550</v>
      </c>
      <c r="I3" s="2">
        <v>25.45</v>
      </c>
      <c r="J3" s="2">
        <f>(I3-I2)/I2</f>
        <v>5.5314105096799914E-3</v>
      </c>
      <c r="K3" s="7"/>
      <c r="L3" s="7"/>
      <c r="M3" s="7"/>
      <c r="N3" s="7"/>
      <c r="O3" s="7"/>
      <c r="P3" s="159"/>
      <c r="Q3" s="158"/>
    </row>
    <row r="4" spans="1:23">
      <c r="A4" s="1" t="s">
        <v>0</v>
      </c>
      <c r="B4" s="16">
        <v>43042</v>
      </c>
      <c r="D4" s="2">
        <v>25.51</v>
      </c>
      <c r="E4" s="5">
        <v>25.61</v>
      </c>
      <c r="F4" s="2">
        <v>25.055</v>
      </c>
      <c r="G4" s="2">
        <v>25.495000000000001</v>
      </c>
      <c r="H4" s="2">
        <v>4811320</v>
      </c>
      <c r="I4" s="2">
        <v>25.495000000000001</v>
      </c>
      <c r="J4" s="2">
        <f t="shared" ref="J4:J67" si="0">(I4-I3)/I3</f>
        <v>1.7681728880157841E-3</v>
      </c>
      <c r="K4" s="10">
        <f>J4*S$13+J3*S$14</f>
        <v>4.6096509425844992E-4</v>
      </c>
      <c r="L4" s="10">
        <f>J4-K4</f>
        <v>1.3072077937573341E-3</v>
      </c>
      <c r="M4" s="7"/>
      <c r="N4" s="7"/>
      <c r="O4" s="7"/>
      <c r="Q4" s="31"/>
      <c r="R4" s="32"/>
      <c r="S4" s="32"/>
      <c r="T4" s="32"/>
      <c r="U4" s="32"/>
      <c r="V4" s="32"/>
      <c r="W4" s="33"/>
    </row>
    <row r="5" spans="1:23" ht="19">
      <c r="A5" s="1" t="s">
        <v>0</v>
      </c>
      <c r="B5" s="16">
        <v>43045</v>
      </c>
      <c r="D5" s="2">
        <v>25.54</v>
      </c>
      <c r="E5" s="5">
        <v>25.81</v>
      </c>
      <c r="F5" s="2">
        <v>25.39</v>
      </c>
      <c r="G5" s="2">
        <v>25.39</v>
      </c>
      <c r="H5" s="2">
        <v>3917285</v>
      </c>
      <c r="I5" s="2">
        <v>25.39</v>
      </c>
      <c r="J5" s="2">
        <f t="shared" si="0"/>
        <v>-4.118454598940985E-3</v>
      </c>
      <c r="K5" s="2">
        <f t="shared" ref="K5:K67" si="1">J5*S$13+J4*S$14</f>
        <v>1.473522857439459E-4</v>
      </c>
      <c r="L5" s="2">
        <f>J5-K5</f>
        <v>-4.2658068846849308E-3</v>
      </c>
      <c r="M5" s="2">
        <f>SQRT(S7)</f>
        <v>2.112590726087747E-5</v>
      </c>
      <c r="N5" s="2">
        <f>M5/L5</f>
        <v>-4.9523824758039448E-3</v>
      </c>
      <c r="O5" s="2">
        <f>-0.5*(N6^2)-LOG(2*PI())/2</f>
        <v>-1.7158486679756302</v>
      </c>
      <c r="Q5" s="34"/>
      <c r="R5" s="45" t="s">
        <v>22</v>
      </c>
      <c r="S5" s="121" t="s">
        <v>7</v>
      </c>
      <c r="T5" s="122"/>
      <c r="U5" s="122"/>
      <c r="V5" s="122"/>
      <c r="W5" s="35"/>
    </row>
    <row r="6" spans="1:23">
      <c r="A6" s="1" t="s">
        <v>0</v>
      </c>
      <c r="B6" s="16">
        <v>43046</v>
      </c>
      <c r="D6" s="2">
        <v>25.58</v>
      </c>
      <c r="E6" s="5">
        <v>25.675000000000001</v>
      </c>
      <c r="F6" s="2">
        <v>25.21</v>
      </c>
      <c r="G6" s="2">
        <v>25.355</v>
      </c>
      <c r="H6" s="2">
        <v>3858676</v>
      </c>
      <c r="I6" s="2">
        <v>25.355</v>
      </c>
      <c r="J6" s="2">
        <f t="shared" si="0"/>
        <v>-1.3784954706577447E-3</v>
      </c>
      <c r="K6" s="2">
        <f t="shared" si="1"/>
        <v>-3.4321513637030883E-4</v>
      </c>
      <c r="L6" s="2">
        <f>J6-K6</f>
        <v>-1.0352803342874358E-3</v>
      </c>
      <c r="M6" s="2">
        <f>SQRT(S$9+S$10*L6^2+S$11*M5^2)</f>
        <v>1.6800649288750639E-3</v>
      </c>
      <c r="N6" s="2">
        <f t="shared" ref="N6:N69" si="2">M6/L6</f>
        <v>-1.6228115933752585</v>
      </c>
      <c r="O6" s="2">
        <f t="shared" ref="O6:O69" si="3">-0.5*(N7^2)-LOG(2*PI())/2</f>
        <v>-0.42802168456550577</v>
      </c>
      <c r="Q6" s="34"/>
      <c r="R6" s="28"/>
      <c r="S6" s="28"/>
      <c r="T6" s="28"/>
      <c r="U6" s="28"/>
      <c r="V6" s="28"/>
      <c r="W6" s="35"/>
    </row>
    <row r="7" spans="1:23" ht="19">
      <c r="A7" s="1" t="s">
        <v>0</v>
      </c>
      <c r="B7" s="16">
        <v>43047</v>
      </c>
      <c r="D7" s="2">
        <v>25.335000000000001</v>
      </c>
      <c r="E7" s="5">
        <v>25.48</v>
      </c>
      <c r="F7" s="2">
        <v>25.035</v>
      </c>
      <c r="G7" s="2">
        <v>25.175000000000001</v>
      </c>
      <c r="H7" s="2">
        <v>5565456</v>
      </c>
      <c r="I7" s="2">
        <v>25.175000000000001</v>
      </c>
      <c r="J7" s="2">
        <f t="shared" si="0"/>
        <v>-7.0991914809702119E-3</v>
      </c>
      <c r="K7" s="2">
        <f t="shared" si="1"/>
        <v>-1.1487816596771726E-4</v>
      </c>
      <c r="L7" s="2">
        <f>J7-K7</f>
        <v>-6.9843133150024944E-3</v>
      </c>
      <c r="M7" s="2">
        <f t="shared" ref="M7:M69" si="4">SQRT(S$9+S$10*L7^2+S$11*M6^2)</f>
        <v>1.6800649289035209E-3</v>
      </c>
      <c r="N7" s="2">
        <f t="shared" si="2"/>
        <v>-0.24054833354836702</v>
      </c>
      <c r="O7" s="2">
        <f t="shared" si="3"/>
        <v>-0.40035727345133476</v>
      </c>
      <c r="Q7" s="34"/>
      <c r="R7" s="26" t="s">
        <v>35</v>
      </c>
      <c r="S7" s="41">
        <v>4.4630395759519546E-10</v>
      </c>
      <c r="T7" s="28"/>
      <c r="U7" s="28"/>
      <c r="V7" s="28"/>
      <c r="W7" s="35"/>
    </row>
    <row r="8" spans="1:23">
      <c r="A8" s="1" t="s">
        <v>0</v>
      </c>
      <c r="B8" s="16">
        <v>43048</v>
      </c>
      <c r="D8" s="2">
        <v>24.925000000000001</v>
      </c>
      <c r="E8" s="5">
        <v>24.93</v>
      </c>
      <c r="F8" s="2">
        <v>24.16</v>
      </c>
      <c r="G8" s="2">
        <v>24.32</v>
      </c>
      <c r="H8" s="2">
        <v>8623479</v>
      </c>
      <c r="I8" s="2">
        <v>24.32</v>
      </c>
      <c r="J8" s="2">
        <f t="shared" si="0"/>
        <v>-3.396226415094341E-2</v>
      </c>
      <c r="K8" s="2">
        <f t="shared" si="1"/>
        <v>-5.9161753850258726E-4</v>
      </c>
      <c r="L8" s="2">
        <f t="shared" ref="L8:L69" si="5">J8-K8</f>
        <v>-3.3370646612440824E-2</v>
      </c>
      <c r="M8" s="2">
        <f t="shared" si="4"/>
        <v>1.6800649295386583E-3</v>
      </c>
      <c r="N8" s="2">
        <f t="shared" si="2"/>
        <v>-5.0345591113368407E-2</v>
      </c>
      <c r="O8" s="2">
        <f t="shared" si="3"/>
        <v>-0.40014653175444109</v>
      </c>
      <c r="Q8" s="34"/>
      <c r="R8" s="28"/>
      <c r="S8" s="42"/>
      <c r="T8" s="28"/>
      <c r="U8" s="28"/>
      <c r="V8" s="28"/>
      <c r="W8" s="35"/>
    </row>
    <row r="9" spans="1:23" ht="19">
      <c r="A9" s="1" t="s">
        <v>0</v>
      </c>
      <c r="B9" s="16">
        <v>43049</v>
      </c>
      <c r="D9" s="2">
        <v>24.93</v>
      </c>
      <c r="E9" s="5">
        <v>25.675000000000001</v>
      </c>
      <c r="F9" s="2">
        <v>24.655000000000001</v>
      </c>
      <c r="G9" s="2">
        <v>25.14</v>
      </c>
      <c r="H9" s="2">
        <v>10232802</v>
      </c>
      <c r="I9" s="2">
        <v>25.14</v>
      </c>
      <c r="J9" s="2">
        <f t="shared" si="0"/>
        <v>3.3717105263157909E-2</v>
      </c>
      <c r="K9" s="2">
        <f t="shared" si="1"/>
        <v>-2.8302759790062508E-3</v>
      </c>
      <c r="L9" s="2">
        <f t="shared" si="5"/>
        <v>3.6547381242164161E-2</v>
      </c>
      <c r="M9" s="2">
        <f t="shared" si="4"/>
        <v>1.6800649296711417E-3</v>
      </c>
      <c r="N9" s="2">
        <f t="shared" si="2"/>
        <v>4.5969502398515938E-2</v>
      </c>
      <c r="O9" s="2">
        <f t="shared" si="3"/>
        <v>-0.40576178667646667</v>
      </c>
      <c r="Q9" s="34"/>
      <c r="R9" s="26" t="s">
        <v>9</v>
      </c>
      <c r="S9" s="41">
        <v>2.8226181652338256E-6</v>
      </c>
      <c r="T9" s="28"/>
      <c r="U9" s="28"/>
      <c r="V9" s="28"/>
      <c r="W9" s="35"/>
    </row>
    <row r="10" spans="1:23" ht="19">
      <c r="A10" s="1" t="s">
        <v>0</v>
      </c>
      <c r="B10" s="16">
        <v>43052</v>
      </c>
      <c r="D10" s="2">
        <v>25.08</v>
      </c>
      <c r="E10" s="5">
        <v>25.125</v>
      </c>
      <c r="F10" s="2">
        <v>24.524999999999999</v>
      </c>
      <c r="G10" s="2">
        <v>24.844999999999999</v>
      </c>
      <c r="H10" s="2">
        <v>6922051</v>
      </c>
      <c r="I10" s="2">
        <v>24.844999999999999</v>
      </c>
      <c r="J10" s="2">
        <f t="shared" si="0"/>
        <v>-1.1734287987271349E-2</v>
      </c>
      <c r="K10" s="2">
        <f t="shared" si="1"/>
        <v>2.8098454415115969E-3</v>
      </c>
      <c r="L10" s="2">
        <f t="shared" si="5"/>
        <v>-1.4544133428782946E-2</v>
      </c>
      <c r="M10" s="2">
        <f t="shared" si="4"/>
        <v>1.680064929000598E-3</v>
      </c>
      <c r="N10" s="2">
        <f t="shared" si="2"/>
        <v>-0.11551495571924122</v>
      </c>
      <c r="O10" s="2">
        <f t="shared" si="3"/>
        <v>-0.39966980153386833</v>
      </c>
      <c r="Q10" s="34"/>
      <c r="R10" s="26" t="s">
        <v>10</v>
      </c>
      <c r="S10" s="41">
        <v>2.0042307077093328E-12</v>
      </c>
      <c r="T10" s="28"/>
      <c r="U10" s="28"/>
      <c r="V10" s="28"/>
      <c r="W10" s="35"/>
    </row>
    <row r="11" spans="1:23" ht="19">
      <c r="A11" s="1" t="s">
        <v>0</v>
      </c>
      <c r="B11" s="16">
        <v>43053</v>
      </c>
      <c r="D11" s="2">
        <v>24.9</v>
      </c>
      <c r="E11" s="5">
        <v>24.96</v>
      </c>
      <c r="F11" s="2">
        <v>23.524999999999999</v>
      </c>
      <c r="G11" s="2">
        <v>23.594999999999999</v>
      </c>
      <c r="H11" s="2">
        <v>8721430</v>
      </c>
      <c r="I11" s="2">
        <v>23.594999999999999</v>
      </c>
      <c r="J11" s="2">
        <f t="shared" si="0"/>
        <v>-5.0311933990742609E-2</v>
      </c>
      <c r="K11" s="2">
        <f t="shared" si="1"/>
        <v>-9.7788749517729542E-4</v>
      </c>
      <c r="L11" s="2">
        <f t="shared" si="5"/>
        <v>-4.933404649556531E-2</v>
      </c>
      <c r="M11" s="2">
        <f t="shared" si="4"/>
        <v>1.6800649303261523E-3</v>
      </c>
      <c r="N11" s="2">
        <f t="shared" si="2"/>
        <v>-3.4054877912298866E-2</v>
      </c>
      <c r="O11" s="2">
        <f t="shared" si="3"/>
        <v>-0.56446099377560688</v>
      </c>
      <c r="Q11" s="34"/>
      <c r="R11" s="26" t="s">
        <v>11</v>
      </c>
      <c r="S11" s="41">
        <v>0</v>
      </c>
      <c r="T11" s="28"/>
      <c r="U11" s="28"/>
      <c r="V11" s="28"/>
      <c r="W11" s="35"/>
    </row>
    <row r="12" spans="1:23">
      <c r="A12" s="1" t="s">
        <v>0</v>
      </c>
      <c r="B12" s="16">
        <v>43054</v>
      </c>
      <c r="D12" s="2">
        <v>23.425000000000001</v>
      </c>
      <c r="E12" s="5">
        <v>23.75</v>
      </c>
      <c r="F12" s="2">
        <v>22.655000000000001</v>
      </c>
      <c r="G12" s="2">
        <v>23.565000000000001</v>
      </c>
      <c r="H12" s="2">
        <v>7790118</v>
      </c>
      <c r="I12" s="2">
        <v>23.565000000000001</v>
      </c>
      <c r="J12" s="2">
        <f t="shared" si="0"/>
        <v>-1.27145581691026E-3</v>
      </c>
      <c r="K12" s="2">
        <f t="shared" si="1"/>
        <v>-4.1927904923674351E-3</v>
      </c>
      <c r="L12" s="2">
        <f t="shared" si="5"/>
        <v>2.9213346754571748E-3</v>
      </c>
      <c r="M12" s="2">
        <f t="shared" si="4"/>
        <v>1.6800649288795152E-3</v>
      </c>
      <c r="N12" s="2">
        <f t="shared" si="2"/>
        <v>0.57510183375911661</v>
      </c>
      <c r="O12" s="2">
        <f t="shared" si="3"/>
        <v>-0.42138295126486819</v>
      </c>
      <c r="Q12" s="34"/>
      <c r="R12" s="28"/>
      <c r="S12" s="42"/>
      <c r="T12" s="28"/>
      <c r="U12" s="28"/>
      <c r="V12" s="28"/>
      <c r="W12" s="35"/>
    </row>
    <row r="13" spans="1:23" ht="19">
      <c r="A13" s="1" t="s">
        <v>0</v>
      </c>
      <c r="B13" s="16">
        <v>43055</v>
      </c>
      <c r="D13" s="2">
        <v>23.9</v>
      </c>
      <c r="E13" s="5">
        <v>24.035</v>
      </c>
      <c r="F13" s="2">
        <v>23.515000000000001</v>
      </c>
      <c r="G13" s="2">
        <v>23.75</v>
      </c>
      <c r="H13" s="2">
        <v>4974273</v>
      </c>
      <c r="I13" s="2">
        <v>23.75</v>
      </c>
      <c r="J13" s="2">
        <f t="shared" si="0"/>
        <v>7.8506259282834171E-3</v>
      </c>
      <c r="K13" s="2">
        <f t="shared" si="1"/>
        <v>-1.0595791967741695E-4</v>
      </c>
      <c r="L13" s="2">
        <f t="shared" si="5"/>
        <v>7.9565838479608332E-3</v>
      </c>
      <c r="M13" s="2">
        <f t="shared" si="4"/>
        <v>1.6800649289121857E-3</v>
      </c>
      <c r="N13" s="2">
        <f t="shared" si="2"/>
        <v>0.2111540531735569</v>
      </c>
      <c r="O13" s="2">
        <f t="shared" si="3"/>
        <v>-0.47056098916835309</v>
      </c>
      <c r="Q13" s="34"/>
      <c r="R13" s="26" t="s">
        <v>12</v>
      </c>
      <c r="S13" s="41">
        <v>0</v>
      </c>
      <c r="T13" s="28"/>
      <c r="U13" s="28"/>
      <c r="V13" s="28"/>
      <c r="W13" s="35"/>
    </row>
    <row r="14" spans="1:23" ht="19">
      <c r="A14" s="1" t="s">
        <v>0</v>
      </c>
      <c r="B14" s="16">
        <v>43056</v>
      </c>
      <c r="D14" s="2">
        <v>23.9</v>
      </c>
      <c r="E14" s="5">
        <v>23.98</v>
      </c>
      <c r="F14" s="2">
        <v>23.414999999999999</v>
      </c>
      <c r="G14" s="2">
        <v>23.66</v>
      </c>
      <c r="H14" s="2">
        <v>5468673</v>
      </c>
      <c r="I14" s="2">
        <v>23.66</v>
      </c>
      <c r="J14" s="2">
        <f t="shared" si="0"/>
        <v>-3.7894736842105205E-3</v>
      </c>
      <c r="K14" s="2">
        <f t="shared" si="1"/>
        <v>6.542390073356458E-4</v>
      </c>
      <c r="L14" s="2">
        <f t="shared" si="5"/>
        <v>-4.4437126915461665E-3</v>
      </c>
      <c r="M14" s="2">
        <f t="shared" si="4"/>
        <v>1.680064928886203E-3</v>
      </c>
      <c r="N14" s="2">
        <f t="shared" si="2"/>
        <v>-0.37807685723750811</v>
      </c>
      <c r="O14" s="2">
        <f t="shared" si="3"/>
        <v>-0.40744675344876091</v>
      </c>
      <c r="Q14" s="34"/>
      <c r="R14" s="26" t="s">
        <v>13</v>
      </c>
      <c r="S14" s="41">
        <v>8.3335903826295132E-2</v>
      </c>
      <c r="T14" s="28"/>
      <c r="U14" s="28"/>
      <c r="V14" s="28"/>
      <c r="W14" s="35"/>
    </row>
    <row r="15" spans="1:23">
      <c r="A15" s="1" t="s">
        <v>0</v>
      </c>
      <c r="B15" s="16">
        <v>43059</v>
      </c>
      <c r="D15" s="2">
        <v>23.605</v>
      </c>
      <c r="E15" s="5">
        <v>24.184999999999999</v>
      </c>
      <c r="F15" s="2">
        <v>23.274999999999999</v>
      </c>
      <c r="G15" s="2">
        <v>23.96</v>
      </c>
      <c r="H15" s="2">
        <v>5258005</v>
      </c>
      <c r="I15" s="2">
        <v>23.96</v>
      </c>
      <c r="J15" s="2">
        <f t="shared" si="0"/>
        <v>1.2679628064243479E-2</v>
      </c>
      <c r="K15" s="2">
        <f t="shared" si="1"/>
        <v>-3.1579921449964425E-4</v>
      </c>
      <c r="L15" s="2">
        <f t="shared" si="5"/>
        <v>1.2995427278743123E-2</v>
      </c>
      <c r="M15" s="2">
        <f t="shared" si="4"/>
        <v>1.6800649289751579E-3</v>
      </c>
      <c r="N15" s="2">
        <f t="shared" si="2"/>
        <v>0.12928123815699952</v>
      </c>
      <c r="O15" s="2">
        <f t="shared" si="3"/>
        <v>-0.40172327614854969</v>
      </c>
      <c r="Q15" s="34"/>
      <c r="R15" s="28"/>
      <c r="S15" s="43"/>
      <c r="T15" s="28"/>
      <c r="U15" s="28"/>
      <c r="V15" s="28"/>
      <c r="W15" s="35"/>
    </row>
    <row r="16" spans="1:23" ht="19">
      <c r="A16" s="1" t="s">
        <v>0</v>
      </c>
      <c r="B16" s="16">
        <v>43060</v>
      </c>
      <c r="D16" s="2">
        <v>24.27</v>
      </c>
      <c r="E16" s="5">
        <v>24.62</v>
      </c>
      <c r="F16" s="2">
        <v>24.13</v>
      </c>
      <c r="G16" s="2">
        <v>24.54</v>
      </c>
      <c r="H16" s="2">
        <v>6435901</v>
      </c>
      <c r="I16" s="2">
        <v>24.54</v>
      </c>
      <c r="J16" s="2">
        <f t="shared" si="0"/>
        <v>2.42070116861435E-2</v>
      </c>
      <c r="K16" s="2">
        <f t="shared" si="1"/>
        <v>1.0566682649149873E-3</v>
      </c>
      <c r="L16" s="2">
        <f t="shared" si="5"/>
        <v>2.3150343421228514E-2</v>
      </c>
      <c r="M16" s="2">
        <f t="shared" si="4"/>
        <v>1.680064929194098E-3</v>
      </c>
      <c r="N16" s="2">
        <f t="shared" si="2"/>
        <v>7.2571922525067334E-2</v>
      </c>
      <c r="O16" s="2">
        <f t="shared" si="3"/>
        <v>-0.43424093110709094</v>
      </c>
      <c r="Q16" s="34"/>
      <c r="R16" s="40" t="s">
        <v>14</v>
      </c>
      <c r="S16" s="44">
        <f>SUM(O5:O269)</f>
        <v>-224.77232590686356</v>
      </c>
      <c r="T16" s="28"/>
      <c r="U16" s="28"/>
      <c r="V16" s="28"/>
      <c r="W16" s="35"/>
    </row>
    <row r="17" spans="1:23" ht="19">
      <c r="A17" s="1" t="s">
        <v>0</v>
      </c>
      <c r="B17" s="16">
        <v>43061</v>
      </c>
      <c r="D17" s="2">
        <v>24.6</v>
      </c>
      <c r="E17" s="5">
        <v>24.975000000000001</v>
      </c>
      <c r="F17" s="2">
        <v>24.344999999999999</v>
      </c>
      <c r="G17" s="2">
        <v>24.745000000000001</v>
      </c>
      <c r="H17" s="2">
        <v>6134646</v>
      </c>
      <c r="I17" s="2">
        <v>24.745000000000001</v>
      </c>
      <c r="J17" s="2">
        <f t="shared" si="0"/>
        <v>8.3537082314589176E-3</v>
      </c>
      <c r="K17" s="2">
        <f t="shared" si="1"/>
        <v>2.017313197798457E-3</v>
      </c>
      <c r="L17" s="2">
        <f t="shared" si="5"/>
        <v>6.3363950336604606E-3</v>
      </c>
      <c r="M17" s="2">
        <f t="shared" si="4"/>
        <v>1.6800649288983731E-3</v>
      </c>
      <c r="N17" s="2">
        <f t="shared" si="2"/>
        <v>0.26514523162988773</v>
      </c>
      <c r="O17" s="2">
        <f t="shared" si="3"/>
        <v>-0.65799515396690145</v>
      </c>
      <c r="Q17" s="34"/>
      <c r="R17" s="40" t="s">
        <v>15</v>
      </c>
      <c r="S17" s="44">
        <f>VAR(N5:N269)</f>
        <v>0.89925893223240749</v>
      </c>
      <c r="T17" s="28"/>
      <c r="U17" s="28"/>
      <c r="V17" s="27"/>
      <c r="W17" s="35"/>
    </row>
    <row r="18" spans="1:23">
      <c r="A18" s="1" t="s">
        <v>0</v>
      </c>
      <c r="B18" s="16">
        <v>43062</v>
      </c>
      <c r="D18" s="2">
        <v>24.65</v>
      </c>
      <c r="E18" s="5">
        <v>25</v>
      </c>
      <c r="F18" s="2">
        <v>24.44</v>
      </c>
      <c r="G18" s="2">
        <v>24.82</v>
      </c>
      <c r="H18" s="2">
        <v>3394448</v>
      </c>
      <c r="I18" s="2">
        <v>24.82</v>
      </c>
      <c r="J18" s="2">
        <f t="shared" si="0"/>
        <v>3.0309153364315735E-3</v>
      </c>
      <c r="K18" s="2">
        <f t="shared" si="1"/>
        <v>6.9616382576979041E-4</v>
      </c>
      <c r="L18" s="2">
        <f t="shared" si="5"/>
        <v>2.3347515106617832E-3</v>
      </c>
      <c r="M18" s="2">
        <f t="shared" si="4"/>
        <v>1.6800649288776759E-3</v>
      </c>
      <c r="N18" s="2">
        <f t="shared" si="2"/>
        <v>0.71959046656809444</v>
      </c>
      <c r="O18" s="2">
        <f t="shared" si="3"/>
        <v>-0.59706161312588546</v>
      </c>
      <c r="Q18" s="37"/>
      <c r="R18" s="38"/>
      <c r="S18" s="38"/>
      <c r="T18" s="38"/>
      <c r="U18" s="38"/>
      <c r="V18" s="38"/>
      <c r="W18" s="39"/>
    </row>
    <row r="19" spans="1:23">
      <c r="A19" s="1" t="s">
        <v>0</v>
      </c>
      <c r="B19" s="16">
        <v>43063</v>
      </c>
      <c r="D19" s="2">
        <v>24.875</v>
      </c>
      <c r="E19" s="5">
        <v>25.02</v>
      </c>
      <c r="F19" s="2">
        <v>24.734999999999999</v>
      </c>
      <c r="G19" s="2">
        <v>24.76</v>
      </c>
      <c r="H19" s="2">
        <v>3272925</v>
      </c>
      <c r="I19" s="2">
        <v>24.76</v>
      </c>
      <c r="J19" s="2">
        <f t="shared" si="0"/>
        <v>-2.4174053182916488E-3</v>
      </c>
      <c r="K19" s="2">
        <f t="shared" si="1"/>
        <v>2.5258406898250458E-4</v>
      </c>
      <c r="L19" s="2">
        <f t="shared" si="5"/>
        <v>-2.6699893872741535E-3</v>
      </c>
      <c r="M19" s="2">
        <f t="shared" si="4"/>
        <v>1.6800649288786769E-3</v>
      </c>
      <c r="N19" s="2">
        <f t="shared" si="2"/>
        <v>-0.62924030218482974</v>
      </c>
      <c r="O19" s="2">
        <f t="shared" si="3"/>
        <v>-1.7847544625585186</v>
      </c>
      <c r="R19" s="11"/>
      <c r="S19" s="12"/>
    </row>
    <row r="20" spans="1:23">
      <c r="A20" s="1" t="s">
        <v>0</v>
      </c>
      <c r="B20" s="16">
        <v>43066</v>
      </c>
      <c r="D20" s="2">
        <v>24.594999999999999</v>
      </c>
      <c r="E20" s="5">
        <v>24.99</v>
      </c>
      <c r="F20" s="2">
        <v>24.515000000000001</v>
      </c>
      <c r="G20" s="2">
        <v>24.78</v>
      </c>
      <c r="H20" s="2">
        <v>3465937</v>
      </c>
      <c r="I20" s="2">
        <v>24.78</v>
      </c>
      <c r="J20" s="2">
        <f t="shared" si="0"/>
        <v>8.0775444264941727E-4</v>
      </c>
      <c r="K20" s="2">
        <f t="shared" si="1"/>
        <v>-2.014566571143272E-4</v>
      </c>
      <c r="L20" s="2">
        <f t="shared" si="5"/>
        <v>1.0092110997637444E-3</v>
      </c>
      <c r="M20" s="2">
        <f t="shared" si="4"/>
        <v>1.6800649288750322E-3</v>
      </c>
      <c r="N20" s="2">
        <f t="shared" si="2"/>
        <v>1.6647309262337029</v>
      </c>
      <c r="O20" s="2">
        <f t="shared" si="3"/>
        <v>-0.41068956018249536</v>
      </c>
      <c r="R20" s="8"/>
      <c r="S20" s="8"/>
    </row>
    <row r="21" spans="1:23">
      <c r="A21" s="1" t="s">
        <v>0</v>
      </c>
      <c r="B21" s="16">
        <v>43067</v>
      </c>
      <c r="D21" s="2">
        <v>24.88</v>
      </c>
      <c r="E21" s="5">
        <v>25.09</v>
      </c>
      <c r="F21" s="2">
        <v>24.815000000000001</v>
      </c>
      <c r="G21" s="2">
        <v>25.055</v>
      </c>
      <c r="H21" s="2">
        <v>4541011</v>
      </c>
      <c r="I21" s="2">
        <v>25.055</v>
      </c>
      <c r="J21" s="2">
        <f t="shared" si="0"/>
        <v>1.1097659402744091E-2</v>
      </c>
      <c r="K21" s="2">
        <f t="shared" si="1"/>
        <v>6.7314946547894467E-5</v>
      </c>
      <c r="L21" s="2">
        <f t="shared" si="5"/>
        <v>1.1030344456196196E-2</v>
      </c>
      <c r="M21" s="2">
        <f t="shared" si="4"/>
        <v>1.6800649289469968E-3</v>
      </c>
      <c r="N21" s="2">
        <f t="shared" si="2"/>
        <v>0.15231300668976258</v>
      </c>
      <c r="O21" s="2">
        <f t="shared" si="3"/>
        <v>-0.40134476396520719</v>
      </c>
      <c r="R21" s="8"/>
      <c r="S21" s="8"/>
    </row>
    <row r="22" spans="1:23">
      <c r="A22" s="1" t="s">
        <v>0</v>
      </c>
      <c r="B22" s="16">
        <v>43068</v>
      </c>
      <c r="D22" s="2">
        <v>25.5</v>
      </c>
      <c r="E22" s="5">
        <v>25.945</v>
      </c>
      <c r="F22" s="2">
        <v>25.29</v>
      </c>
      <c r="G22" s="2">
        <v>25.704999999999998</v>
      </c>
      <c r="H22" s="2">
        <v>7447542</v>
      </c>
      <c r="I22" s="2">
        <v>25.704999999999998</v>
      </c>
      <c r="J22" s="2">
        <f t="shared" si="0"/>
        <v>2.5942925563759673E-2</v>
      </c>
      <c r="K22" s="2">
        <f t="shared" si="1"/>
        <v>9.2483347668406149E-4</v>
      </c>
      <c r="L22" s="2">
        <f t="shared" si="5"/>
        <v>2.5018092087075613E-2</v>
      </c>
      <c r="M22" s="2">
        <f t="shared" si="4"/>
        <v>1.6800649292477608E-3</v>
      </c>
      <c r="N22" s="2">
        <f t="shared" si="2"/>
        <v>6.7153998930065698E-2</v>
      </c>
      <c r="O22" s="2">
        <f t="shared" si="3"/>
        <v>-0.40504933647354646</v>
      </c>
      <c r="R22" s="8"/>
      <c r="S22" s="8"/>
    </row>
    <row r="23" spans="1:23">
      <c r="A23" s="1" t="s">
        <v>0</v>
      </c>
      <c r="B23" s="16">
        <v>43069</v>
      </c>
      <c r="D23" s="2">
        <v>25.65</v>
      </c>
      <c r="E23" s="5">
        <v>26.03</v>
      </c>
      <c r="F23" s="2">
        <v>25.33</v>
      </c>
      <c r="G23" s="2">
        <v>25.364999999999998</v>
      </c>
      <c r="H23" s="2">
        <v>7315870</v>
      </c>
      <c r="I23" s="2">
        <v>25.364999999999998</v>
      </c>
      <c r="J23" s="2">
        <f t="shared" si="0"/>
        <v>-1.3226998638397195E-2</v>
      </c>
      <c r="K23" s="2">
        <f t="shared" si="1"/>
        <v>2.1619771497542097E-3</v>
      </c>
      <c r="L23" s="2">
        <f t="shared" si="5"/>
        <v>-1.5388975788151404E-2</v>
      </c>
      <c r="M23" s="2">
        <f t="shared" si="4"/>
        <v>1.6800649290156821E-3</v>
      </c>
      <c r="N23" s="2">
        <f t="shared" si="2"/>
        <v>-0.10917327781548868</v>
      </c>
      <c r="O23" s="2">
        <f t="shared" si="3"/>
        <v>-0.42944305671541066</v>
      </c>
      <c r="R23" s="8"/>
      <c r="S23" s="8"/>
    </row>
    <row r="24" spans="1:23">
      <c r="A24" s="1" t="s">
        <v>0</v>
      </c>
      <c r="B24" s="16">
        <v>43070</v>
      </c>
      <c r="D24" s="2">
        <v>25.425000000000001</v>
      </c>
      <c r="E24" s="5">
        <v>25.995000000000001</v>
      </c>
      <c r="F24" s="2">
        <v>25.19</v>
      </c>
      <c r="G24" s="2">
        <v>25.51</v>
      </c>
      <c r="H24" s="2">
        <v>7507914</v>
      </c>
      <c r="I24" s="2">
        <v>25.51</v>
      </c>
      <c r="J24" s="2">
        <f t="shared" si="0"/>
        <v>5.7165385373547459E-3</v>
      </c>
      <c r="K24" s="2">
        <f t="shared" si="1"/>
        <v>-1.1022838864400053E-3</v>
      </c>
      <c r="L24" s="2">
        <f t="shared" si="5"/>
        <v>6.8188224237947515E-3</v>
      </c>
      <c r="M24" s="2">
        <f t="shared" si="4"/>
        <v>1.6800649289021585E-3</v>
      </c>
      <c r="N24" s="2">
        <f t="shared" si="2"/>
        <v>0.2463863735532188</v>
      </c>
      <c r="O24" s="2">
        <f t="shared" si="3"/>
        <v>-0.40108878056506425</v>
      </c>
    </row>
    <row r="25" spans="1:23">
      <c r="A25" s="1" t="s">
        <v>0</v>
      </c>
      <c r="B25" s="16">
        <v>43073</v>
      </c>
      <c r="D25" s="2">
        <v>26</v>
      </c>
      <c r="E25" s="5">
        <v>26.27</v>
      </c>
      <c r="F25" s="2">
        <v>25.86</v>
      </c>
      <c r="G25" s="2">
        <v>26.2</v>
      </c>
      <c r="H25" s="2">
        <v>6501069</v>
      </c>
      <c r="I25" s="2">
        <v>26.2</v>
      </c>
      <c r="J25" s="2">
        <f t="shared" si="0"/>
        <v>2.7048216385730996E-2</v>
      </c>
      <c r="K25" s="2">
        <f t="shared" si="1"/>
        <v>4.7639290576830494E-4</v>
      </c>
      <c r="L25" s="2">
        <f t="shared" si="5"/>
        <v>2.6571823479962689E-2</v>
      </c>
      <c r="M25" s="2">
        <f t="shared" si="4"/>
        <v>1.6800649292955723E-3</v>
      </c>
      <c r="N25" s="2">
        <f t="shared" si="2"/>
        <v>6.3227310333537234E-2</v>
      </c>
      <c r="O25" s="2">
        <f t="shared" si="3"/>
        <v>-0.40242385428123933</v>
      </c>
    </row>
    <row r="26" spans="1:23">
      <c r="A26" s="1" t="s">
        <v>0</v>
      </c>
      <c r="B26" s="16">
        <v>43074</v>
      </c>
      <c r="D26" s="2">
        <v>26.045000000000002</v>
      </c>
      <c r="E26" s="5">
        <v>26.114999999999998</v>
      </c>
      <c r="F26" s="2">
        <v>25.55</v>
      </c>
      <c r="G26" s="2">
        <v>25.72</v>
      </c>
      <c r="H26" s="2">
        <v>6500907</v>
      </c>
      <c r="I26" s="2">
        <v>25.72</v>
      </c>
      <c r="J26" s="2">
        <f t="shared" si="0"/>
        <v>-1.8320610687022919E-2</v>
      </c>
      <c r="K26" s="2">
        <f t="shared" si="1"/>
        <v>2.2540875593940984E-3</v>
      </c>
      <c r="L26" s="2">
        <f t="shared" si="5"/>
        <v>-2.0574698246417018E-2</v>
      </c>
      <c r="M26" s="2">
        <f t="shared" si="4"/>
        <v>1.680064929126923E-3</v>
      </c>
      <c r="N26" s="2">
        <f t="shared" si="2"/>
        <v>-8.1656844197921491E-2</v>
      </c>
      <c r="O26" s="2">
        <f t="shared" si="3"/>
        <v>-0.40283531454482335</v>
      </c>
    </row>
    <row r="27" spans="1:23">
      <c r="A27" s="1" t="s">
        <v>0</v>
      </c>
      <c r="B27" s="16">
        <v>43075</v>
      </c>
      <c r="D27" s="2">
        <v>25.24</v>
      </c>
      <c r="E27" s="5">
        <v>26.24</v>
      </c>
      <c r="F27" s="2">
        <v>24.79</v>
      </c>
      <c r="G27" s="2">
        <v>26.18</v>
      </c>
      <c r="H27" s="2">
        <v>6855548</v>
      </c>
      <c r="I27" s="2">
        <v>26.18</v>
      </c>
      <c r="J27" s="2">
        <f t="shared" si="0"/>
        <v>1.7884914463452601E-2</v>
      </c>
      <c r="K27" s="2">
        <f t="shared" si="1"/>
        <v>-1.5267646502527368E-3</v>
      </c>
      <c r="L27" s="2">
        <f t="shared" si="5"/>
        <v>1.9411679113705338E-2</v>
      </c>
      <c r="M27" s="2">
        <f t="shared" si="4"/>
        <v>1.6800649290991841E-3</v>
      </c>
      <c r="N27" s="2">
        <f t="shared" si="2"/>
        <v>8.6549180998618414E-2</v>
      </c>
      <c r="O27" s="2">
        <f t="shared" si="3"/>
        <v>-3.0729253652962565</v>
      </c>
    </row>
    <row r="28" spans="1:23">
      <c r="A28" s="1" t="s">
        <v>0</v>
      </c>
      <c r="B28" s="16">
        <v>43076</v>
      </c>
      <c r="D28" s="2">
        <v>25.965</v>
      </c>
      <c r="E28" s="5">
        <v>26.265000000000001</v>
      </c>
      <c r="F28" s="2">
        <v>25.805</v>
      </c>
      <c r="G28" s="2">
        <v>26.2</v>
      </c>
      <c r="H28" s="2">
        <v>5150149</v>
      </c>
      <c r="I28" s="2">
        <v>26.2</v>
      </c>
      <c r="J28" s="2">
        <f t="shared" si="0"/>
        <v>7.6394194041251237E-4</v>
      </c>
      <c r="K28" s="2">
        <f t="shared" si="1"/>
        <v>1.4904555116678007E-3</v>
      </c>
      <c r="L28" s="2">
        <f t="shared" si="5"/>
        <v>-7.2651357125528833E-4</v>
      </c>
      <c r="M28" s="2">
        <f t="shared" si="4"/>
        <v>1.6800649288747395E-3</v>
      </c>
      <c r="N28" s="2">
        <f t="shared" si="2"/>
        <v>-2.3125031593998737</v>
      </c>
      <c r="O28" s="2">
        <f t="shared" si="3"/>
        <v>-0.41418533280292896</v>
      </c>
    </row>
    <row r="29" spans="1:23">
      <c r="A29" s="1" t="s">
        <v>0</v>
      </c>
      <c r="B29" s="16">
        <v>43077</v>
      </c>
      <c r="D29" s="2">
        <v>26.35</v>
      </c>
      <c r="E29" s="5">
        <v>26.585000000000001</v>
      </c>
      <c r="F29" s="2">
        <v>26.34</v>
      </c>
      <c r="G29" s="2">
        <v>26.454999999999998</v>
      </c>
      <c r="H29" s="2">
        <v>5732985</v>
      </c>
      <c r="I29" s="2">
        <v>26.454999999999998</v>
      </c>
      <c r="J29" s="2">
        <f t="shared" si="0"/>
        <v>9.7328244274808781E-3</v>
      </c>
      <c r="K29" s="2">
        <f t="shared" si="1"/>
        <v>6.3663792075090416E-5</v>
      </c>
      <c r="L29" s="2">
        <f t="shared" si="5"/>
        <v>9.6691606354057883E-3</v>
      </c>
      <c r="M29" s="2">
        <f t="shared" si="4"/>
        <v>1.6800649289301906E-3</v>
      </c>
      <c r="N29" s="2">
        <f t="shared" si="2"/>
        <v>0.17375499200812303</v>
      </c>
      <c r="O29" s="2">
        <f t="shared" si="3"/>
        <v>-0.40913712825433679</v>
      </c>
    </row>
    <row r="30" spans="1:23">
      <c r="A30" s="1" t="s">
        <v>0</v>
      </c>
      <c r="B30" s="16">
        <v>43080</v>
      </c>
      <c r="D30" s="2">
        <v>26.5</v>
      </c>
      <c r="E30" s="5">
        <v>27.02</v>
      </c>
      <c r="F30" s="2">
        <v>26.49</v>
      </c>
      <c r="G30" s="2">
        <v>26.79</v>
      </c>
      <c r="H30" s="2">
        <v>5624263</v>
      </c>
      <c r="I30" s="2">
        <v>26.79</v>
      </c>
      <c r="J30" s="2">
        <f t="shared" si="0"/>
        <v>1.2663012663012696E-2</v>
      </c>
      <c r="K30" s="2">
        <f t="shared" si="1"/>
        <v>8.110937204467624E-4</v>
      </c>
      <c r="L30" s="2">
        <f t="shared" si="5"/>
        <v>1.1851918942565935E-2</v>
      </c>
      <c r="M30" s="2">
        <f t="shared" si="4"/>
        <v>1.68006492895821E-3</v>
      </c>
      <c r="N30" s="2">
        <f t="shared" si="2"/>
        <v>0.14175467593895616</v>
      </c>
      <c r="O30" s="2">
        <f t="shared" si="3"/>
        <v>-0.44308770226824468</v>
      </c>
    </row>
    <row r="31" spans="1:23">
      <c r="A31" s="1" t="s">
        <v>0</v>
      </c>
      <c r="B31" s="16">
        <v>43081</v>
      </c>
      <c r="D31" s="2">
        <v>26.954999999999998</v>
      </c>
      <c r="E31" s="5">
        <v>27.01</v>
      </c>
      <c r="F31" s="2">
        <v>26.56</v>
      </c>
      <c r="G31" s="2">
        <v>26.97</v>
      </c>
      <c r="H31" s="2">
        <v>5228947</v>
      </c>
      <c r="I31" s="2">
        <v>26.97</v>
      </c>
      <c r="J31" s="2">
        <f t="shared" si="0"/>
        <v>6.7189249720044685E-3</v>
      </c>
      <c r="K31" s="2">
        <f t="shared" si="1"/>
        <v>1.0552836054359834E-3</v>
      </c>
      <c r="L31" s="2">
        <f t="shared" si="5"/>
        <v>5.6636413665684853E-3</v>
      </c>
      <c r="M31" s="2">
        <f t="shared" si="4"/>
        <v>1.6800649288935578E-3</v>
      </c>
      <c r="N31" s="2">
        <f t="shared" si="2"/>
        <v>0.29664041561859766</v>
      </c>
      <c r="O31" s="2">
        <f t="shared" si="3"/>
        <v>-0.46468342336041712</v>
      </c>
    </row>
    <row r="32" spans="1:23">
      <c r="A32" s="1" t="s">
        <v>0</v>
      </c>
      <c r="B32" s="16">
        <v>43082</v>
      </c>
      <c r="D32" s="2">
        <v>26.88</v>
      </c>
      <c r="E32" s="5">
        <v>27.085000000000001</v>
      </c>
      <c r="F32" s="2">
        <v>26.824999999999999</v>
      </c>
      <c r="G32" s="2">
        <v>26.86</v>
      </c>
      <c r="H32" s="2">
        <v>4577978</v>
      </c>
      <c r="I32" s="2">
        <v>26.86</v>
      </c>
      <c r="J32" s="2">
        <f t="shared" si="0"/>
        <v>-4.0786058583611208E-3</v>
      </c>
      <c r="K32" s="2">
        <f t="shared" si="1"/>
        <v>5.5992768528305707E-4</v>
      </c>
      <c r="L32" s="2">
        <f t="shared" si="5"/>
        <v>-4.6385335436441777E-3</v>
      </c>
      <c r="M32" s="2">
        <f t="shared" si="4"/>
        <v>1.6800649288872583E-3</v>
      </c>
      <c r="N32" s="2">
        <f t="shared" si="2"/>
        <v>-0.36219743008850735</v>
      </c>
      <c r="O32" s="2">
        <f t="shared" si="3"/>
        <v>-0.42093975117773463</v>
      </c>
    </row>
    <row r="33" spans="1:15">
      <c r="A33" s="1" t="s">
        <v>0</v>
      </c>
      <c r="B33" s="16">
        <v>43083</v>
      </c>
      <c r="D33" s="2">
        <v>26.945</v>
      </c>
      <c r="E33" s="2">
        <v>26.99</v>
      </c>
      <c r="F33" s="2">
        <v>26.605</v>
      </c>
      <c r="G33" s="2">
        <v>26.635000000000002</v>
      </c>
      <c r="H33" s="2">
        <v>4396436</v>
      </c>
      <c r="I33" s="2">
        <v>26.635000000000002</v>
      </c>
      <c r="J33" s="2">
        <f t="shared" si="0"/>
        <v>-8.3767684288904645E-3</v>
      </c>
      <c r="K33" s="2">
        <f t="shared" si="1"/>
        <v>-3.398943055577463E-4</v>
      </c>
      <c r="L33" s="2">
        <f t="shared" si="5"/>
        <v>-8.0368741233327184E-3</v>
      </c>
      <c r="M33" s="2">
        <f t="shared" si="4"/>
        <v>1.6800649289129518E-3</v>
      </c>
      <c r="N33" s="2">
        <f t="shared" si="2"/>
        <v>-0.20904457418778946</v>
      </c>
      <c r="O33" s="2">
        <f t="shared" si="3"/>
        <v>-0.4033217700475405</v>
      </c>
    </row>
    <row r="34" spans="1:15">
      <c r="A34" s="1" t="s">
        <v>0</v>
      </c>
      <c r="B34" s="16">
        <v>43084</v>
      </c>
      <c r="D34" s="2">
        <v>26.47</v>
      </c>
      <c r="E34" s="2">
        <v>26.51</v>
      </c>
      <c r="F34" s="2">
        <v>25.95</v>
      </c>
      <c r="G34" s="2">
        <v>26.13</v>
      </c>
      <c r="H34" s="2">
        <v>8041071</v>
      </c>
      <c r="I34" s="2">
        <v>26.13</v>
      </c>
      <c r="J34" s="2">
        <f t="shared" si="0"/>
        <v>-1.8960015017833773E-2</v>
      </c>
      <c r="K34" s="2">
        <f t="shared" si="1"/>
        <v>-6.9808556816516117E-4</v>
      </c>
      <c r="L34" s="2">
        <f t="shared" si="5"/>
        <v>-1.8261929449668611E-2</v>
      </c>
      <c r="M34" s="2">
        <f t="shared" si="4"/>
        <v>1.6800649290733478E-3</v>
      </c>
      <c r="N34" s="2">
        <f t="shared" si="2"/>
        <v>-9.1998215944473216E-2</v>
      </c>
      <c r="O34" s="2">
        <f t="shared" si="3"/>
        <v>-0.40180006778665983</v>
      </c>
    </row>
    <row r="35" spans="1:15">
      <c r="A35" s="1" t="s">
        <v>0</v>
      </c>
      <c r="B35" s="16">
        <v>43087</v>
      </c>
      <c r="D35" s="2">
        <v>26.215</v>
      </c>
      <c r="E35" s="2">
        <v>26.72</v>
      </c>
      <c r="F35" s="2">
        <v>26.2</v>
      </c>
      <c r="G35" s="2">
        <v>26.684999999999999</v>
      </c>
      <c r="H35" s="2">
        <v>4269139</v>
      </c>
      <c r="I35" s="2">
        <v>26.684999999999999</v>
      </c>
      <c r="J35" s="2">
        <f t="shared" si="0"/>
        <v>2.1239954075774961E-2</v>
      </c>
      <c r="K35" s="2">
        <f t="shared" si="1"/>
        <v>-1.5800499880713067E-3</v>
      </c>
      <c r="L35" s="2">
        <f t="shared" si="5"/>
        <v>2.2820004063846266E-2</v>
      </c>
      <c r="M35" s="2">
        <f t="shared" si="4"/>
        <v>1.6800649291850401E-3</v>
      </c>
      <c r="N35" s="2">
        <f t="shared" si="2"/>
        <v>7.3622464066374418E-2</v>
      </c>
      <c r="O35" s="2">
        <f t="shared" si="3"/>
        <v>-0.47155275941975805</v>
      </c>
    </row>
    <row r="36" spans="1:15">
      <c r="A36" s="1" t="s">
        <v>0</v>
      </c>
      <c r="B36" s="16">
        <v>43088</v>
      </c>
      <c r="D36" s="2">
        <v>26.75</v>
      </c>
      <c r="E36" s="2">
        <v>27.045000000000002</v>
      </c>
      <c r="F36" s="2">
        <v>26.63</v>
      </c>
      <c r="G36" s="2">
        <v>26.85</v>
      </c>
      <c r="H36" s="2">
        <v>4753799</v>
      </c>
      <c r="I36" s="2">
        <v>26.85</v>
      </c>
      <c r="J36" s="2">
        <f t="shared" si="0"/>
        <v>6.1832490163013943E-3</v>
      </c>
      <c r="K36" s="2">
        <f t="shared" si="1"/>
        <v>1.7700507701337075E-3</v>
      </c>
      <c r="L36" s="2">
        <f t="shared" si="5"/>
        <v>4.413198246167687E-3</v>
      </c>
      <c r="M36" s="2">
        <f t="shared" si="4"/>
        <v>1.6800649288860419E-3</v>
      </c>
      <c r="N36" s="2">
        <f t="shared" si="2"/>
        <v>0.3806910170747414</v>
      </c>
      <c r="O36" s="2">
        <f t="shared" si="3"/>
        <v>-0.481423715215818</v>
      </c>
    </row>
    <row r="37" spans="1:15">
      <c r="A37" s="1" t="s">
        <v>0</v>
      </c>
      <c r="B37" s="16">
        <v>43089</v>
      </c>
      <c r="D37" s="2">
        <v>26.885000000000002</v>
      </c>
      <c r="E37" s="2">
        <v>27.04</v>
      </c>
      <c r="F37" s="2">
        <v>26.62</v>
      </c>
      <c r="G37" s="2">
        <v>26.975000000000001</v>
      </c>
      <c r="H37" s="2">
        <v>4677568</v>
      </c>
      <c r="I37" s="2">
        <v>26.975000000000001</v>
      </c>
      <c r="J37" s="2">
        <f t="shared" si="0"/>
        <v>4.6554934823091242E-3</v>
      </c>
      <c r="K37" s="2">
        <f t="shared" si="1"/>
        <v>5.1528664535652701E-4</v>
      </c>
      <c r="L37" s="2">
        <f t="shared" si="5"/>
        <v>4.1402068369525971E-3</v>
      </c>
      <c r="M37" s="2">
        <f t="shared" si="4"/>
        <v>1.6800649288846491E-3</v>
      </c>
      <c r="N37" s="2">
        <f t="shared" si="2"/>
        <v>0.40579251111069187</v>
      </c>
      <c r="O37" s="2">
        <f t="shared" si="3"/>
        <v>-0.40275225593362701</v>
      </c>
    </row>
    <row r="38" spans="1:15">
      <c r="A38" s="1" t="s">
        <v>0</v>
      </c>
      <c r="B38" s="16">
        <v>43090</v>
      </c>
      <c r="D38" s="2">
        <v>26.94</v>
      </c>
      <c r="E38" s="2">
        <v>27.585000000000001</v>
      </c>
      <c r="F38" s="2">
        <v>26.9</v>
      </c>
      <c r="G38" s="2">
        <v>27.515000000000001</v>
      </c>
      <c r="H38" s="2">
        <v>5648411</v>
      </c>
      <c r="I38" s="2">
        <v>27.515000000000001</v>
      </c>
      <c r="J38" s="2">
        <f t="shared" si="0"/>
        <v>2.001853568118625E-2</v>
      </c>
      <c r="K38" s="2">
        <f t="shared" si="1"/>
        <v>3.8796975710565697E-4</v>
      </c>
      <c r="L38" s="2">
        <f t="shared" si="5"/>
        <v>1.9630565924080592E-2</v>
      </c>
      <c r="M38" s="2">
        <f t="shared" si="4"/>
        <v>1.6800649291042816E-3</v>
      </c>
      <c r="N38" s="2">
        <f t="shared" si="2"/>
        <v>8.5584131175931361E-2</v>
      </c>
      <c r="O38" s="2">
        <f t="shared" si="3"/>
        <v>-0.52839391790758228</v>
      </c>
    </row>
    <row r="39" spans="1:15">
      <c r="A39" s="1" t="s">
        <v>0</v>
      </c>
      <c r="B39" s="16">
        <v>43091</v>
      </c>
      <c r="D39" s="2">
        <v>27.6</v>
      </c>
      <c r="E39" s="2">
        <v>27.6</v>
      </c>
      <c r="F39" s="2">
        <v>27.36</v>
      </c>
      <c r="G39" s="2">
        <v>27.47</v>
      </c>
      <c r="H39" s="2">
        <v>3093536</v>
      </c>
      <c r="I39" s="2">
        <v>27.47</v>
      </c>
      <c r="J39" s="2">
        <f t="shared" si="0"/>
        <v>-1.6354715609668074E-3</v>
      </c>
      <c r="K39" s="2">
        <f t="shared" si="1"/>
        <v>1.6682627642705949E-3</v>
      </c>
      <c r="L39" s="2">
        <f t="shared" si="5"/>
        <v>-3.3037343252374021E-3</v>
      </c>
      <c r="M39" s="2">
        <f t="shared" si="4"/>
        <v>1.6800649288809351E-3</v>
      </c>
      <c r="N39" s="2">
        <f t="shared" si="2"/>
        <v>-0.50853511919733674</v>
      </c>
      <c r="O39" s="2">
        <f t="shared" si="3"/>
        <v>-0.49803943884034069</v>
      </c>
    </row>
    <row r="40" spans="1:15">
      <c r="A40" s="1" t="s">
        <v>0</v>
      </c>
      <c r="B40" s="16">
        <v>43096</v>
      </c>
      <c r="D40" s="2">
        <v>27.59</v>
      </c>
      <c r="E40" s="2">
        <v>27.73</v>
      </c>
      <c r="F40" s="2">
        <v>27.43</v>
      </c>
      <c r="G40" s="2">
        <v>27.57</v>
      </c>
      <c r="H40" s="2">
        <v>2685020</v>
      </c>
      <c r="I40" s="2">
        <v>27.57</v>
      </c>
      <c r="J40" s="2">
        <f t="shared" si="0"/>
        <v>3.6403349108118464E-3</v>
      </c>
      <c r="K40" s="2">
        <f t="shared" si="1"/>
        <v>-1.3629350071537065E-4</v>
      </c>
      <c r="L40" s="2">
        <f t="shared" si="5"/>
        <v>3.776628411527217E-3</v>
      </c>
      <c r="M40" s="2">
        <f t="shared" si="4"/>
        <v>1.6800649288829322E-3</v>
      </c>
      <c r="N40" s="2">
        <f t="shared" si="2"/>
        <v>0.44485841491711303</v>
      </c>
      <c r="O40" s="2">
        <f t="shared" si="3"/>
        <v>-0.4090390568531751</v>
      </c>
    </row>
    <row r="41" spans="1:15">
      <c r="A41" s="1" t="s">
        <v>0</v>
      </c>
      <c r="B41" s="16">
        <v>43097</v>
      </c>
      <c r="D41" s="2">
        <v>27.7</v>
      </c>
      <c r="E41" s="2">
        <v>27.7</v>
      </c>
      <c r="F41" s="2">
        <v>27.22</v>
      </c>
      <c r="G41" s="2">
        <v>27.25</v>
      </c>
      <c r="H41" s="2">
        <v>2771394</v>
      </c>
      <c r="I41" s="2">
        <v>27.25</v>
      </c>
      <c r="J41" s="2">
        <f t="shared" si="0"/>
        <v>-1.1606819006166133E-2</v>
      </c>
      <c r="K41" s="2">
        <f t="shared" si="1"/>
        <v>3.0337060002292069E-4</v>
      </c>
      <c r="L41" s="2">
        <f t="shared" si="5"/>
        <v>-1.1910189606189054E-2</v>
      </c>
      <c r="M41" s="2">
        <f t="shared" si="4"/>
        <v>1.680064928959036E-3</v>
      </c>
      <c r="N41" s="2">
        <f t="shared" si="2"/>
        <v>-0.14106114046127369</v>
      </c>
      <c r="O41" s="2">
        <f t="shared" si="3"/>
        <v>-0.48787897450950368</v>
      </c>
    </row>
    <row r="42" spans="1:15">
      <c r="A42" s="1" t="s">
        <v>0</v>
      </c>
      <c r="B42" s="16">
        <v>43098</v>
      </c>
      <c r="D42" s="2">
        <v>27.225000000000001</v>
      </c>
      <c r="E42" s="2">
        <v>27.425000000000001</v>
      </c>
      <c r="F42" s="2">
        <v>26.98</v>
      </c>
      <c r="G42" s="2">
        <v>27.114999999999998</v>
      </c>
      <c r="H42" s="2">
        <v>2690275</v>
      </c>
      <c r="I42" s="2">
        <v>27.114999999999998</v>
      </c>
      <c r="J42" s="2">
        <f t="shared" si="0"/>
        <v>-4.9541284403670297E-3</v>
      </c>
      <c r="K42" s="2">
        <f t="shared" si="1"/>
        <v>-9.672647524270753E-4</v>
      </c>
      <c r="L42" s="2">
        <f t="shared" si="5"/>
        <v>-3.9868636879399543E-3</v>
      </c>
      <c r="M42" s="2">
        <f t="shared" si="4"/>
        <v>1.6800649288839056E-3</v>
      </c>
      <c r="N42" s="2">
        <f t="shared" si="2"/>
        <v>-0.42140014316667274</v>
      </c>
      <c r="O42" s="2">
        <f t="shared" si="3"/>
        <v>-0.4003126867276855</v>
      </c>
    </row>
    <row r="43" spans="1:15">
      <c r="A43" s="1" t="s">
        <v>0</v>
      </c>
      <c r="B43" s="16">
        <v>43102</v>
      </c>
      <c r="D43" s="2">
        <v>27.13</v>
      </c>
      <c r="E43" s="2">
        <v>28.024999999999999</v>
      </c>
      <c r="F43" s="2">
        <v>26.85</v>
      </c>
      <c r="G43" s="2">
        <v>28.024999999999999</v>
      </c>
      <c r="H43" s="2">
        <v>5718503</v>
      </c>
      <c r="I43" s="2">
        <v>28.024999999999999</v>
      </c>
      <c r="J43" s="2">
        <f t="shared" si="0"/>
        <v>3.3560759727088336E-2</v>
      </c>
      <c r="K43" s="2">
        <f t="shared" si="1"/>
        <v>-4.1285677124954027E-4</v>
      </c>
      <c r="L43" s="2">
        <f t="shared" si="5"/>
        <v>3.3973616498337876E-2</v>
      </c>
      <c r="M43" s="2">
        <f t="shared" si="4"/>
        <v>1.6800649295628791E-3</v>
      </c>
      <c r="N43" s="2">
        <f t="shared" si="2"/>
        <v>4.9452048463697544E-2</v>
      </c>
      <c r="O43" s="2">
        <f t="shared" si="3"/>
        <v>-0.40166084013962589</v>
      </c>
    </row>
    <row r="44" spans="1:15">
      <c r="A44" s="1" t="s">
        <v>0</v>
      </c>
      <c r="B44" s="16">
        <v>43103</v>
      </c>
      <c r="D44" s="2">
        <v>28.155000000000001</v>
      </c>
      <c r="E44" s="2">
        <v>28.82</v>
      </c>
      <c r="F44" s="2">
        <v>28.035</v>
      </c>
      <c r="G44" s="2">
        <v>28.76</v>
      </c>
      <c r="H44" s="2">
        <v>7591219</v>
      </c>
      <c r="I44" s="2">
        <v>28.76</v>
      </c>
      <c r="J44" s="2">
        <f t="shared" si="0"/>
        <v>2.6226583407671828E-2</v>
      </c>
      <c r="K44" s="2">
        <f t="shared" si="1"/>
        <v>2.7968162449540325E-3</v>
      </c>
      <c r="L44" s="2">
        <f t="shared" si="5"/>
        <v>2.3429767162717795E-2</v>
      </c>
      <c r="M44" s="2">
        <f t="shared" si="4"/>
        <v>1.6800649292018615E-3</v>
      </c>
      <c r="N44" s="2">
        <f t="shared" si="2"/>
        <v>7.1706428729485419E-2</v>
      </c>
      <c r="O44" s="2">
        <f t="shared" si="3"/>
        <v>-0.45248589211990392</v>
      </c>
    </row>
    <row r="45" spans="1:15">
      <c r="A45" s="1" t="s">
        <v>0</v>
      </c>
      <c r="B45" s="16">
        <v>43104</v>
      </c>
      <c r="D45" s="2">
        <v>29</v>
      </c>
      <c r="E45" s="2">
        <v>29.06</v>
      </c>
      <c r="F45" s="2">
        <v>28.555</v>
      </c>
      <c r="G45" s="2">
        <v>28.675000000000001</v>
      </c>
      <c r="H45" s="2">
        <v>6095301</v>
      </c>
      <c r="I45" s="2">
        <v>28.675000000000001</v>
      </c>
      <c r="J45" s="2">
        <f t="shared" si="0"/>
        <v>-2.9554937413074009E-3</v>
      </c>
      <c r="K45" s="2">
        <f t="shared" si="1"/>
        <v>2.1856160325540472E-3</v>
      </c>
      <c r="L45" s="2">
        <f t="shared" si="5"/>
        <v>-5.1411097738614485E-3</v>
      </c>
      <c r="M45" s="2">
        <f t="shared" si="4"/>
        <v>1.68006492889019E-3</v>
      </c>
      <c r="N45" s="2">
        <f t="shared" si="2"/>
        <v>-0.3267903240331525</v>
      </c>
      <c r="O45" s="2">
        <f t="shared" si="3"/>
        <v>-0.4172285000293916</v>
      </c>
    </row>
    <row r="46" spans="1:15">
      <c r="A46" s="1" t="s">
        <v>0</v>
      </c>
      <c r="B46" s="16">
        <v>43105</v>
      </c>
      <c r="D46" s="2">
        <v>28.57</v>
      </c>
      <c r="E46" s="2">
        <v>28.655000000000001</v>
      </c>
      <c r="F46" s="2">
        <v>28.324999999999999</v>
      </c>
      <c r="G46" s="2">
        <v>28.414999999999999</v>
      </c>
      <c r="H46" s="2">
        <v>5593861</v>
      </c>
      <c r="I46" s="2">
        <v>28.414999999999999</v>
      </c>
      <c r="J46" s="2">
        <f t="shared" si="0"/>
        <v>-9.0671316477768625E-3</v>
      </c>
      <c r="K46" s="2">
        <f t="shared" si="1"/>
        <v>-2.4629874218481073E-4</v>
      </c>
      <c r="L46" s="2">
        <f t="shared" si="5"/>
        <v>-8.8208329055920517E-3</v>
      </c>
      <c r="M46" s="2">
        <f t="shared" si="4"/>
        <v>1.6800649289208346E-3</v>
      </c>
      <c r="N46" s="2">
        <f t="shared" si="2"/>
        <v>-0.19046556565602113</v>
      </c>
      <c r="O46" s="2">
        <f t="shared" si="3"/>
        <v>-0.40084195830580949</v>
      </c>
    </row>
    <row r="47" spans="1:15">
      <c r="A47" s="1" t="s">
        <v>0</v>
      </c>
      <c r="B47" s="16">
        <v>43108</v>
      </c>
      <c r="D47" s="2">
        <v>28.745000000000001</v>
      </c>
      <c r="E47" s="2">
        <v>29.225000000000001</v>
      </c>
      <c r="F47" s="2">
        <v>28.704999999999998</v>
      </c>
      <c r="G47" s="2">
        <v>29.2</v>
      </c>
      <c r="H47" s="2">
        <v>5353569</v>
      </c>
      <c r="I47" s="2">
        <v>29.2</v>
      </c>
      <c r="J47" s="2">
        <f t="shared" si="0"/>
        <v>2.7626253739222249E-2</v>
      </c>
      <c r="K47" s="2">
        <f t="shared" si="1"/>
        <v>-7.5561761097948953E-4</v>
      </c>
      <c r="L47" s="2">
        <f t="shared" si="5"/>
        <v>2.8381871350201739E-2</v>
      </c>
      <c r="M47" s="2">
        <f t="shared" si="4"/>
        <v>1.6800649293549029E-3</v>
      </c>
      <c r="N47" s="2">
        <f t="shared" si="2"/>
        <v>5.9195001930095109E-2</v>
      </c>
      <c r="O47" s="2">
        <f t="shared" si="3"/>
        <v>-0.40425290912346368</v>
      </c>
    </row>
    <row r="48" spans="1:15">
      <c r="A48" s="1" t="s">
        <v>0</v>
      </c>
      <c r="B48" s="16">
        <v>43109</v>
      </c>
      <c r="D48" s="2">
        <v>29.414999999999999</v>
      </c>
      <c r="E48" s="2">
        <v>29.77</v>
      </c>
      <c r="F48" s="2">
        <v>29.38</v>
      </c>
      <c r="G48" s="2">
        <v>29.75</v>
      </c>
      <c r="H48" s="2">
        <v>6849081</v>
      </c>
      <c r="I48" s="2">
        <v>29.75</v>
      </c>
      <c r="J48" s="2">
        <f t="shared" si="0"/>
        <v>1.8835616438356188E-2</v>
      </c>
      <c r="K48" s="2">
        <f t="shared" si="1"/>
        <v>2.3022588246926516E-3</v>
      </c>
      <c r="L48" s="2">
        <f t="shared" si="5"/>
        <v>1.6533357613663535E-2</v>
      </c>
      <c r="M48" s="2">
        <f t="shared" si="4"/>
        <v>1.6800649290374722E-3</v>
      </c>
      <c r="N48" s="2">
        <f t="shared" si="2"/>
        <v>0.10161668115428829</v>
      </c>
      <c r="O48" s="2">
        <f t="shared" si="3"/>
        <v>-1.5253983857707991</v>
      </c>
    </row>
    <row r="49" spans="1:15">
      <c r="A49" s="1" t="s">
        <v>0</v>
      </c>
      <c r="B49" s="16">
        <v>43110</v>
      </c>
      <c r="D49" s="2">
        <v>29.75</v>
      </c>
      <c r="E49" s="2">
        <v>30.03</v>
      </c>
      <c r="F49" s="2">
        <v>29.42</v>
      </c>
      <c r="G49" s="2">
        <v>29.83</v>
      </c>
      <c r="H49" s="2">
        <v>6364753</v>
      </c>
      <c r="I49" s="2">
        <v>29.83</v>
      </c>
      <c r="J49" s="2">
        <f t="shared" si="0"/>
        <v>2.6890756302520437E-3</v>
      </c>
      <c r="K49" s="2">
        <f t="shared" si="1"/>
        <v>1.5696831200158348E-3</v>
      </c>
      <c r="L49" s="2">
        <f t="shared" si="5"/>
        <v>1.1193925102362088E-3</v>
      </c>
      <c r="M49" s="2">
        <f t="shared" si="4"/>
        <v>1.6800649288751721E-3</v>
      </c>
      <c r="N49" s="2">
        <f t="shared" si="2"/>
        <v>1.5008720475721717</v>
      </c>
      <c r="O49" s="2">
        <f t="shared" si="3"/>
        <v>-0.41110362354148672</v>
      </c>
    </row>
    <row r="50" spans="1:15">
      <c r="A50" s="1" t="s">
        <v>0</v>
      </c>
      <c r="B50" s="16">
        <v>43111</v>
      </c>
      <c r="D50" s="2">
        <v>29.82</v>
      </c>
      <c r="E50" s="2">
        <v>30.37</v>
      </c>
      <c r="F50" s="2">
        <v>29.82</v>
      </c>
      <c r="G50" s="2">
        <v>30.16</v>
      </c>
      <c r="H50" s="2">
        <v>5623330</v>
      </c>
      <c r="I50" s="2">
        <v>30.16</v>
      </c>
      <c r="J50" s="2">
        <f t="shared" si="0"/>
        <v>1.1062688568555209E-2</v>
      </c>
      <c r="K50" s="2">
        <f t="shared" si="1"/>
        <v>2.2409654810431827E-4</v>
      </c>
      <c r="L50" s="2">
        <f t="shared" si="5"/>
        <v>1.083859202045089E-2</v>
      </c>
      <c r="M50" s="2">
        <f t="shared" si="4"/>
        <v>1.6800649289444955E-3</v>
      </c>
      <c r="N50" s="2">
        <f t="shared" si="2"/>
        <v>0.15500767311606994</v>
      </c>
      <c r="O50" s="2">
        <f t="shared" si="3"/>
        <v>-0.40565527560198478</v>
      </c>
    </row>
    <row r="51" spans="1:15">
      <c r="A51" s="1" t="s">
        <v>0</v>
      </c>
      <c r="B51" s="16">
        <v>43112</v>
      </c>
      <c r="D51" s="2">
        <v>30.6</v>
      </c>
      <c r="E51" s="2">
        <v>30.76</v>
      </c>
      <c r="F51" s="2">
        <v>30.434999999999999</v>
      </c>
      <c r="G51" s="2">
        <v>30.63</v>
      </c>
      <c r="H51" s="2">
        <v>6850586</v>
      </c>
      <c r="I51" s="2">
        <v>30.63</v>
      </c>
      <c r="J51" s="2">
        <f t="shared" si="0"/>
        <v>1.5583554376657788E-2</v>
      </c>
      <c r="K51" s="2">
        <f t="shared" si="1"/>
        <v>9.2191915060937143E-4</v>
      </c>
      <c r="L51" s="2">
        <f t="shared" si="5"/>
        <v>1.4661635226048417E-2</v>
      </c>
      <c r="M51" s="2">
        <f t="shared" si="4"/>
        <v>1.6800649290026448E-3</v>
      </c>
      <c r="N51" s="2">
        <f t="shared" si="2"/>
        <v>0.1145891916624537</v>
      </c>
      <c r="O51" s="2">
        <f t="shared" si="3"/>
        <v>-0.45811257390392229</v>
      </c>
    </row>
    <row r="52" spans="1:15">
      <c r="A52" s="1" t="s">
        <v>0</v>
      </c>
      <c r="B52" s="16">
        <v>43115</v>
      </c>
      <c r="D52" s="2">
        <v>30.6</v>
      </c>
      <c r="E52" s="2">
        <v>30.614999999999998</v>
      </c>
      <c r="F52" s="2">
        <v>30.3</v>
      </c>
      <c r="G52" s="2">
        <v>30.52</v>
      </c>
      <c r="H52" s="2">
        <v>3403267</v>
      </c>
      <c r="I52" s="2">
        <v>30.52</v>
      </c>
      <c r="J52" s="2">
        <f t="shared" si="0"/>
        <v>-3.5912504080966188E-3</v>
      </c>
      <c r="K52" s="2">
        <f t="shared" si="1"/>
        <v>1.298669588804994E-3</v>
      </c>
      <c r="L52" s="2">
        <f t="shared" si="5"/>
        <v>-4.8899199969016129E-3</v>
      </c>
      <c r="M52" s="2">
        <f t="shared" si="4"/>
        <v>1.6800649288886871E-3</v>
      </c>
      <c r="N52" s="2">
        <f t="shared" si="2"/>
        <v>-0.34357718121221253</v>
      </c>
      <c r="O52" s="2">
        <f t="shared" si="3"/>
        <v>-0.40947043414401585</v>
      </c>
    </row>
    <row r="53" spans="1:15">
      <c r="A53" s="1" t="s">
        <v>0</v>
      </c>
      <c r="B53" s="16">
        <v>43116</v>
      </c>
      <c r="D53" s="2">
        <v>30.274999999999999</v>
      </c>
      <c r="E53" s="2">
        <v>30.315000000000001</v>
      </c>
      <c r="F53" s="2">
        <v>29.8</v>
      </c>
      <c r="G53" s="2">
        <v>30.155000000000001</v>
      </c>
      <c r="H53" s="2">
        <v>5178020</v>
      </c>
      <c r="I53" s="2">
        <v>30.155000000000001</v>
      </c>
      <c r="J53" s="2">
        <f t="shared" si="0"/>
        <v>-1.1959370904324982E-2</v>
      </c>
      <c r="K53" s="2">
        <f t="shared" si="1"/>
        <v>-2.9928009862528298E-4</v>
      </c>
      <c r="L53" s="2">
        <f t="shared" si="5"/>
        <v>-1.1660090805699699E-2</v>
      </c>
      <c r="M53" s="2">
        <f t="shared" si="4"/>
        <v>1.6800649289555199E-3</v>
      </c>
      <c r="N53" s="2">
        <f t="shared" si="2"/>
        <v>-0.14408677916421272</v>
      </c>
      <c r="O53" s="2">
        <f t="shared" si="3"/>
        <v>-0.40956937987246794</v>
      </c>
    </row>
    <row r="54" spans="1:15">
      <c r="A54" s="1" t="s">
        <v>0</v>
      </c>
      <c r="B54" s="16">
        <v>43117</v>
      </c>
      <c r="D54" s="2">
        <v>29.87</v>
      </c>
      <c r="E54" s="2">
        <v>30.39</v>
      </c>
      <c r="F54" s="2">
        <v>29.7</v>
      </c>
      <c r="G54" s="2">
        <v>29.774999999999999</v>
      </c>
      <c r="H54" s="2">
        <v>4880591</v>
      </c>
      <c r="I54" s="2">
        <v>29.774999999999999</v>
      </c>
      <c r="J54" s="2">
        <f t="shared" si="0"/>
        <v>-1.2601558613828636E-2</v>
      </c>
      <c r="K54" s="2">
        <f t="shared" si="1"/>
        <v>-9.9664498350581898E-4</v>
      </c>
      <c r="L54" s="2">
        <f t="shared" si="5"/>
        <v>-1.1604913630322816E-2</v>
      </c>
      <c r="M54" s="2">
        <f t="shared" si="4"/>
        <v>1.6800649289547543E-3</v>
      </c>
      <c r="N54" s="2">
        <f t="shared" si="2"/>
        <v>-0.14477185978918997</v>
      </c>
      <c r="O54" s="2">
        <f t="shared" si="3"/>
        <v>-0.49164515613012771</v>
      </c>
    </row>
    <row r="55" spans="1:15">
      <c r="A55" s="1" t="s">
        <v>0</v>
      </c>
      <c r="B55" s="16">
        <v>43118</v>
      </c>
      <c r="D55" s="2">
        <v>30.1</v>
      </c>
      <c r="E55" s="2">
        <v>30.2</v>
      </c>
      <c r="F55" s="2">
        <v>29.574999999999999</v>
      </c>
      <c r="G55" s="2">
        <v>29.86</v>
      </c>
      <c r="H55" s="2">
        <v>4195117</v>
      </c>
      <c r="I55" s="2">
        <v>29.86</v>
      </c>
      <c r="J55" s="2">
        <f t="shared" si="0"/>
        <v>2.8547439126784505E-3</v>
      </c>
      <c r="K55" s="2">
        <f t="shared" si="1"/>
        <v>-1.0501622767034441E-3</v>
      </c>
      <c r="L55" s="2">
        <f t="shared" si="5"/>
        <v>3.9049061893818944E-3</v>
      </c>
      <c r="M55" s="2">
        <f t="shared" si="4"/>
        <v>1.6800649288835198E-3</v>
      </c>
      <c r="N55" s="2">
        <f t="shared" si="2"/>
        <v>0.43024463262444118</v>
      </c>
      <c r="O55" s="2">
        <f t="shared" si="3"/>
        <v>-0.42228933880561215</v>
      </c>
    </row>
    <row r="56" spans="1:15">
      <c r="A56" s="1" t="s">
        <v>0</v>
      </c>
      <c r="B56" s="16">
        <v>43119</v>
      </c>
      <c r="D56" s="2">
        <v>29.9</v>
      </c>
      <c r="E56" s="2">
        <v>30.25</v>
      </c>
      <c r="F56" s="2">
        <v>29.824999999999999</v>
      </c>
      <c r="G56" s="2">
        <v>30.1</v>
      </c>
      <c r="H56" s="2">
        <v>4502457</v>
      </c>
      <c r="I56" s="2">
        <v>30.1</v>
      </c>
      <c r="J56" s="2">
        <f t="shared" si="0"/>
        <v>8.0375083724046215E-3</v>
      </c>
      <c r="K56" s="2">
        <f t="shared" si="1"/>
        <v>2.3790266415567283E-4</v>
      </c>
      <c r="L56" s="2">
        <f t="shared" si="5"/>
        <v>7.7996057082489485E-3</v>
      </c>
      <c r="M56" s="2">
        <f t="shared" si="4"/>
        <v>1.6800649289107105E-3</v>
      </c>
      <c r="N56" s="2">
        <f t="shared" si="2"/>
        <v>0.21540382831581542</v>
      </c>
      <c r="O56" s="2">
        <f t="shared" si="3"/>
        <v>-0.44893699624022326</v>
      </c>
    </row>
    <row r="57" spans="1:15">
      <c r="A57" s="1" t="s">
        <v>0</v>
      </c>
      <c r="B57" s="16">
        <v>43122</v>
      </c>
      <c r="D57" s="2">
        <v>30.25</v>
      </c>
      <c r="E57" s="2">
        <v>30.46</v>
      </c>
      <c r="F57" s="2">
        <v>29.885000000000002</v>
      </c>
      <c r="G57" s="2">
        <v>29.96</v>
      </c>
      <c r="H57" s="2">
        <v>3620444</v>
      </c>
      <c r="I57" s="2">
        <v>29.96</v>
      </c>
      <c r="J57" s="2">
        <f t="shared" si="0"/>
        <v>-4.6511627906976934E-3</v>
      </c>
      <c r="K57" s="2">
        <f t="shared" si="1"/>
        <v>6.6981302472575346E-4</v>
      </c>
      <c r="L57" s="2">
        <f t="shared" si="5"/>
        <v>-5.320975815423447E-3</v>
      </c>
      <c r="M57" s="2">
        <f t="shared" si="4"/>
        <v>1.6800649288913124E-3</v>
      </c>
      <c r="N57" s="2">
        <f t="shared" si="2"/>
        <v>-0.31574376339419835</v>
      </c>
      <c r="O57" s="2">
        <f t="shared" si="3"/>
        <v>-0.40192556348292513</v>
      </c>
    </row>
    <row r="58" spans="1:15">
      <c r="A58" s="1" t="s">
        <v>0</v>
      </c>
      <c r="B58" s="16">
        <v>43123</v>
      </c>
      <c r="D58" s="2">
        <v>30.05</v>
      </c>
      <c r="E58" s="2">
        <v>30.114999999999998</v>
      </c>
      <c r="F58" s="2">
        <v>28.954999999999998</v>
      </c>
      <c r="G58" s="2">
        <v>29.28</v>
      </c>
      <c r="H58" s="2">
        <v>7493246</v>
      </c>
      <c r="I58" s="2">
        <v>29.28</v>
      </c>
      <c r="J58" s="2">
        <f t="shared" si="0"/>
        <v>-2.2696929238985305E-2</v>
      </c>
      <c r="K58" s="2">
        <f t="shared" si="1"/>
        <v>-3.8760885500602546E-4</v>
      </c>
      <c r="L58" s="2">
        <f t="shared" si="5"/>
        <v>-2.2309320383979279E-2</v>
      </c>
      <c r="M58" s="2">
        <f t="shared" si="4"/>
        <v>1.6800649291712933E-3</v>
      </c>
      <c r="N58" s="2">
        <f t="shared" si="2"/>
        <v>-7.5307759279739331E-2</v>
      </c>
      <c r="O58" s="2">
        <f t="shared" si="3"/>
        <v>-6.0614981751091355</v>
      </c>
    </row>
    <row r="59" spans="1:15">
      <c r="A59" s="1" t="s">
        <v>0</v>
      </c>
      <c r="B59" s="16">
        <v>43124</v>
      </c>
      <c r="D59" s="2">
        <v>29.14</v>
      </c>
      <c r="E59" s="2">
        <v>29.56</v>
      </c>
      <c r="F59" s="2">
        <v>29.094999999999999</v>
      </c>
      <c r="G59" s="2">
        <v>29.21</v>
      </c>
      <c r="H59" s="2">
        <v>4980150</v>
      </c>
      <c r="I59" s="2">
        <v>29.21</v>
      </c>
      <c r="J59" s="2">
        <f t="shared" si="0"/>
        <v>-2.3907103825136708E-3</v>
      </c>
      <c r="K59" s="2">
        <f t="shared" si="1"/>
        <v>-1.8914691122123054E-3</v>
      </c>
      <c r="L59" s="2">
        <f t="shared" si="5"/>
        <v>-4.9924127030136537E-4</v>
      </c>
      <c r="M59" s="2">
        <f t="shared" si="4"/>
        <v>1.6800649288745734E-3</v>
      </c>
      <c r="N59" s="2">
        <f t="shared" si="2"/>
        <v>-3.3652364674507131</v>
      </c>
      <c r="O59" s="2">
        <f t="shared" si="3"/>
        <v>-0.40398815011575856</v>
      </c>
    </row>
    <row r="60" spans="1:15">
      <c r="A60" s="1" t="s">
        <v>0</v>
      </c>
      <c r="B60" s="16">
        <v>43125</v>
      </c>
      <c r="D60" s="2">
        <v>29.11</v>
      </c>
      <c r="E60" s="2">
        <v>29.83</v>
      </c>
      <c r="F60" s="2">
        <v>29.07</v>
      </c>
      <c r="G60" s="2">
        <v>29.7</v>
      </c>
      <c r="H60" s="2">
        <v>5763621</v>
      </c>
      <c r="I60" s="2">
        <v>29.7</v>
      </c>
      <c r="J60" s="2">
        <f t="shared" si="0"/>
        <v>1.6775077028414874E-2</v>
      </c>
      <c r="K60" s="2">
        <f t="shared" si="1"/>
        <v>-1.9923201051368452E-4</v>
      </c>
      <c r="L60" s="2">
        <f t="shared" si="5"/>
        <v>1.6974309038928558E-2</v>
      </c>
      <c r="M60" s="2">
        <f t="shared" si="4"/>
        <v>1.680064929046285E-3</v>
      </c>
      <c r="N60" s="2">
        <f t="shared" si="2"/>
        <v>9.897692596460074E-2</v>
      </c>
      <c r="O60" s="2">
        <f t="shared" si="3"/>
        <v>-0.42192667715930998</v>
      </c>
    </row>
    <row r="61" spans="1:15">
      <c r="A61" s="1" t="s">
        <v>0</v>
      </c>
      <c r="B61" s="16">
        <v>43126</v>
      </c>
      <c r="D61" s="2">
        <v>29.71</v>
      </c>
      <c r="E61" s="2">
        <v>29.975000000000001</v>
      </c>
      <c r="F61" s="2">
        <v>29.535</v>
      </c>
      <c r="G61" s="2">
        <v>29.975000000000001</v>
      </c>
      <c r="H61" s="2">
        <v>3791399</v>
      </c>
      <c r="I61" s="2">
        <v>29.975000000000001</v>
      </c>
      <c r="J61" s="2">
        <f t="shared" si="0"/>
        <v>9.2592592592593316E-3</v>
      </c>
      <c r="K61" s="2">
        <f t="shared" si="1"/>
        <v>1.3979662059186747E-3</v>
      </c>
      <c r="L61" s="2">
        <f t="shared" si="5"/>
        <v>7.8612930533406566E-3</v>
      </c>
      <c r="M61" s="2">
        <f t="shared" si="4"/>
        <v>1.6800649289112866E-3</v>
      </c>
      <c r="N61" s="2">
        <f t="shared" si="2"/>
        <v>0.21371356054425969</v>
      </c>
      <c r="O61" s="2">
        <f t="shared" si="3"/>
        <v>-0.44201769151589099</v>
      </c>
    </row>
    <row r="62" spans="1:15">
      <c r="A62" s="1" t="s">
        <v>0</v>
      </c>
      <c r="B62" s="16">
        <v>43129</v>
      </c>
      <c r="D62" s="2">
        <v>29.99</v>
      </c>
      <c r="E62" s="2">
        <v>30.37</v>
      </c>
      <c r="F62" s="2">
        <v>29.91</v>
      </c>
      <c r="G62" s="2">
        <v>30.17</v>
      </c>
      <c r="H62" s="2">
        <v>3596381</v>
      </c>
      <c r="I62" s="2">
        <v>30.17</v>
      </c>
      <c r="J62" s="2">
        <f t="shared" si="0"/>
        <v>6.505421184320276E-3</v>
      </c>
      <c r="K62" s="2">
        <f t="shared" si="1"/>
        <v>7.7162873913236838E-4</v>
      </c>
      <c r="L62" s="2">
        <f t="shared" si="5"/>
        <v>5.7337924451879079E-3</v>
      </c>
      <c r="M62" s="2">
        <f t="shared" si="4"/>
        <v>1.6800649288940346E-3</v>
      </c>
      <c r="N62" s="2">
        <f t="shared" si="2"/>
        <v>0.2930111169796582</v>
      </c>
      <c r="O62" s="2">
        <f t="shared" si="3"/>
        <v>-0.40247143264114027</v>
      </c>
    </row>
    <row r="63" spans="1:15">
      <c r="A63" s="1" t="s">
        <v>0</v>
      </c>
      <c r="B63" s="16">
        <v>43130</v>
      </c>
      <c r="D63" s="2">
        <v>29.95</v>
      </c>
      <c r="E63" s="2">
        <v>30.074999999999999</v>
      </c>
      <c r="F63" s="2">
        <v>29.27</v>
      </c>
      <c r="G63" s="2">
        <v>29.57</v>
      </c>
      <c r="H63" s="2">
        <v>4976757</v>
      </c>
      <c r="I63" s="2">
        <v>29.57</v>
      </c>
      <c r="J63" s="2">
        <f t="shared" si="0"/>
        <v>-1.9887305270135942E-2</v>
      </c>
      <c r="K63" s="2">
        <f t="shared" si="1"/>
        <v>5.4213515416605754E-4</v>
      </c>
      <c r="L63" s="2">
        <f t="shared" si="5"/>
        <v>-2.0429440424302E-2</v>
      </c>
      <c r="M63" s="2">
        <f t="shared" si="4"/>
        <v>1.6800649291233705E-3</v>
      </c>
      <c r="N63" s="2">
        <f t="shared" si="2"/>
        <v>-8.2237442349367348E-2</v>
      </c>
      <c r="O63" s="2">
        <f t="shared" si="3"/>
        <v>-0.41317511199853935</v>
      </c>
    </row>
    <row r="64" spans="1:15">
      <c r="A64" s="1" t="s">
        <v>0</v>
      </c>
      <c r="B64" s="16">
        <v>43131</v>
      </c>
      <c r="D64" s="2">
        <v>29.55</v>
      </c>
      <c r="E64" s="2">
        <v>29.95</v>
      </c>
      <c r="F64" s="2">
        <v>28.524999999999999</v>
      </c>
      <c r="G64" s="2">
        <v>29.225000000000001</v>
      </c>
      <c r="H64" s="2">
        <v>11245493</v>
      </c>
      <c r="I64" s="2">
        <v>29.225000000000001</v>
      </c>
      <c r="J64" s="2">
        <f t="shared" si="0"/>
        <v>-1.1667230300980685E-2</v>
      </c>
      <c r="K64" s="2">
        <f t="shared" si="1"/>
        <v>-1.6573265593562213E-3</v>
      </c>
      <c r="L64" s="2">
        <f t="shared" si="5"/>
        <v>-1.0009903741624464E-2</v>
      </c>
      <c r="M64" s="2">
        <f t="shared" si="4"/>
        <v>1.6800649289341902E-3</v>
      </c>
      <c r="N64" s="2">
        <f t="shared" si="2"/>
        <v>-0.16784026822834761</v>
      </c>
      <c r="O64" s="2">
        <f t="shared" si="3"/>
        <v>-0.41543252983711171</v>
      </c>
    </row>
    <row r="65" spans="1:15">
      <c r="A65" s="1" t="s">
        <v>0</v>
      </c>
      <c r="B65" s="16">
        <v>43132</v>
      </c>
      <c r="D65" s="2">
        <v>29.9</v>
      </c>
      <c r="E65" s="2">
        <v>30.164999999999999</v>
      </c>
      <c r="F65" s="2">
        <v>28.805</v>
      </c>
      <c r="G65" s="2">
        <v>28.925000000000001</v>
      </c>
      <c r="H65" s="2">
        <v>8753911</v>
      </c>
      <c r="I65" s="2">
        <v>28.925000000000001</v>
      </c>
      <c r="J65" s="2">
        <f t="shared" si="0"/>
        <v>-1.0265183917878553E-2</v>
      </c>
      <c r="K65" s="2">
        <f t="shared" si="1"/>
        <v>-9.7229918228176285E-4</v>
      </c>
      <c r="L65" s="2">
        <f t="shared" si="5"/>
        <v>-9.2928847355967896E-3</v>
      </c>
      <c r="M65" s="2">
        <f t="shared" si="4"/>
        <v>1.6800649289259346E-3</v>
      </c>
      <c r="N65" s="2">
        <f t="shared" si="2"/>
        <v>-0.18079046245891489</v>
      </c>
      <c r="O65" s="2">
        <f t="shared" si="3"/>
        <v>-0.40006533133858035</v>
      </c>
    </row>
    <row r="66" spans="1:15">
      <c r="A66" s="1" t="s">
        <v>0</v>
      </c>
      <c r="B66" s="16">
        <v>43133</v>
      </c>
      <c r="D66" s="2">
        <v>29</v>
      </c>
      <c r="E66" s="2">
        <v>29.074999999999999</v>
      </c>
      <c r="F66" s="2">
        <v>27.68</v>
      </c>
      <c r="G66" s="2">
        <v>27.8</v>
      </c>
      <c r="H66" s="2">
        <v>8272114</v>
      </c>
      <c r="I66" s="2">
        <v>27.8</v>
      </c>
      <c r="J66" s="2">
        <f t="shared" si="0"/>
        <v>-3.8893690579083838E-2</v>
      </c>
      <c r="K66" s="2">
        <f t="shared" si="1"/>
        <v>-8.5545837973955861E-4</v>
      </c>
      <c r="L66" s="2">
        <f t="shared" si="5"/>
        <v>-3.8038232199344282E-2</v>
      </c>
      <c r="M66" s="2">
        <f t="shared" si="4"/>
        <v>1.6800649297374673E-3</v>
      </c>
      <c r="N66" s="2">
        <f t="shared" si="2"/>
        <v>-4.4167797308057574E-2</v>
      </c>
      <c r="O66" s="2">
        <f t="shared" si="3"/>
        <v>-0.40607681585826161</v>
      </c>
    </row>
    <row r="67" spans="1:15">
      <c r="A67" s="1" t="s">
        <v>0</v>
      </c>
      <c r="B67" s="16">
        <v>43136</v>
      </c>
      <c r="D67" s="2">
        <v>27.39</v>
      </c>
      <c r="E67" s="2">
        <v>28.195</v>
      </c>
      <c r="F67" s="2">
        <v>27.24</v>
      </c>
      <c r="G67" s="2">
        <v>28.105</v>
      </c>
      <c r="H67" s="2">
        <v>6287482</v>
      </c>
      <c r="I67" s="2">
        <v>28.105</v>
      </c>
      <c r="J67" s="2">
        <f t="shared" si="0"/>
        <v>1.0971223021582724E-2</v>
      </c>
      <c r="K67" s="2">
        <f t="shared" si="1"/>
        <v>-3.241240857548212E-3</v>
      </c>
      <c r="L67" s="2">
        <f t="shared" si="5"/>
        <v>1.4212463879130936E-2</v>
      </c>
      <c r="M67" s="2">
        <f t="shared" si="4"/>
        <v>1.680064928994909E-3</v>
      </c>
      <c r="N67" s="2">
        <f t="shared" si="2"/>
        <v>0.11821067362302008</v>
      </c>
      <c r="O67" s="2">
        <f t="shared" si="3"/>
        <v>-0.40011923255090587</v>
      </c>
    </row>
    <row r="68" spans="1:15">
      <c r="A68" s="1" t="s">
        <v>0</v>
      </c>
      <c r="B68" s="16">
        <v>43137</v>
      </c>
      <c r="D68" s="2">
        <v>26.85</v>
      </c>
      <c r="E68" s="2">
        <v>27.96</v>
      </c>
      <c r="F68" s="2">
        <v>26.6</v>
      </c>
      <c r="G68" s="2">
        <v>27.09</v>
      </c>
      <c r="H68" s="2">
        <v>11859181</v>
      </c>
      <c r="I68" s="2">
        <v>27.09</v>
      </c>
      <c r="J68" s="2">
        <f t="shared" ref="J68:J131" si="6">(I68-I67)/I67</f>
        <v>-3.6114570361145723E-2</v>
      </c>
      <c r="K68" s="2">
        <f t="shared" ref="K68:K131" si="7">J68*S$13+J67*S$14</f>
        <v>9.1429678658345298E-4</v>
      </c>
      <c r="L68" s="2">
        <f t="shared" si="5"/>
        <v>-3.7028867147729176E-2</v>
      </c>
      <c r="M68" s="2">
        <f t="shared" si="4"/>
        <v>1.6800649296922724E-3</v>
      </c>
      <c r="N68" s="2">
        <f t="shared" si="2"/>
        <v>-4.5371761522963676E-2</v>
      </c>
      <c r="O68" s="2">
        <f t="shared" si="3"/>
        <v>-0.4011944210376131</v>
      </c>
    </row>
    <row r="69" spans="1:15">
      <c r="A69" s="1" t="s">
        <v>0</v>
      </c>
      <c r="B69" s="16">
        <v>43138</v>
      </c>
      <c r="D69" s="2">
        <v>27.81</v>
      </c>
      <c r="E69" s="2">
        <v>27.88</v>
      </c>
      <c r="F69" s="2">
        <v>27.085000000000001</v>
      </c>
      <c r="G69" s="2">
        <v>27.71</v>
      </c>
      <c r="H69" s="2">
        <v>8121996</v>
      </c>
      <c r="I69" s="2">
        <v>27.71</v>
      </c>
      <c r="J69" s="2">
        <f t="shared" si="6"/>
        <v>2.2886674049464786E-2</v>
      </c>
      <c r="K69" s="2">
        <f t="shared" si="7"/>
        <v>-3.0096403623444084E-3</v>
      </c>
      <c r="L69" s="2">
        <f t="shared" si="5"/>
        <v>2.5896314411809195E-2</v>
      </c>
      <c r="M69" s="2">
        <f t="shared" si="4"/>
        <v>1.6800649292744317E-3</v>
      </c>
      <c r="N69" s="2">
        <f t="shared" si="2"/>
        <v>6.4876603772940411E-2</v>
      </c>
      <c r="O69" s="2">
        <f t="shared" si="3"/>
        <v>-0.39990529341847841</v>
      </c>
    </row>
    <row r="70" spans="1:15">
      <c r="A70" s="1" t="s">
        <v>0</v>
      </c>
      <c r="B70" s="16">
        <v>43139</v>
      </c>
      <c r="D70" s="2">
        <v>27.5</v>
      </c>
      <c r="E70" s="2">
        <v>27.52</v>
      </c>
      <c r="F70" s="2">
        <v>26.445</v>
      </c>
      <c r="G70" s="2">
        <v>26.61</v>
      </c>
      <c r="H70" s="2">
        <v>7036780</v>
      </c>
      <c r="I70" s="2">
        <v>26.61</v>
      </c>
      <c r="J70" s="2">
        <f t="shared" si="6"/>
        <v>-3.9696860339227764E-2</v>
      </c>
      <c r="K70" s="2">
        <f t="shared" si="7"/>
        <v>1.907281667489962E-3</v>
      </c>
      <c r="L70" s="2">
        <f t="shared" ref="L70:L133" si="8">J70-K70</f>
        <v>-4.1604142006717727E-2</v>
      </c>
      <c r="M70" s="2">
        <f t="shared" ref="M70:M133" si="9">SQRT(S$9+S$10*L70^2+S$11*M69^2)</f>
        <v>1.6800649299068646E-3</v>
      </c>
      <c r="N70" s="2">
        <f t="shared" ref="N70:N133" si="10">M70/L70</f>
        <v>-4.0382155450666146E-2</v>
      </c>
      <c r="O70" s="2">
        <f t="shared" ref="O70:O133" si="11">-0.5*(N71^2)-LOG(2*PI())/2</f>
        <v>-0.41688612248935242</v>
      </c>
    </row>
    <row r="71" spans="1:15">
      <c r="A71" s="1" t="s">
        <v>0</v>
      </c>
      <c r="B71" s="16">
        <v>43140</v>
      </c>
      <c r="D71" s="2">
        <v>26.38</v>
      </c>
      <c r="E71" s="2">
        <v>26.835000000000001</v>
      </c>
      <c r="F71" s="2">
        <v>26.004999999999999</v>
      </c>
      <c r="G71" s="2">
        <v>26.285</v>
      </c>
      <c r="H71" s="2">
        <v>9567322</v>
      </c>
      <c r="I71" s="2">
        <v>26.285</v>
      </c>
      <c r="J71" s="2">
        <f t="shared" si="6"/>
        <v>-1.2213453588876336E-2</v>
      </c>
      <c r="K71" s="2">
        <f t="shared" si="7"/>
        <v>-3.3081737354357546E-3</v>
      </c>
      <c r="L71" s="2">
        <f t="shared" si="8"/>
        <v>-8.9052798534405807E-3</v>
      </c>
      <c r="M71" s="2">
        <f t="shared" si="9"/>
        <v>1.6800649289217275E-3</v>
      </c>
      <c r="N71" s="2">
        <f t="shared" si="10"/>
        <v>-0.18865941964447411</v>
      </c>
      <c r="O71" s="2">
        <f t="shared" si="11"/>
        <v>-0.40253833377227843</v>
      </c>
    </row>
    <row r="72" spans="1:15">
      <c r="A72" s="1" t="s">
        <v>0</v>
      </c>
      <c r="B72" s="16">
        <v>43143</v>
      </c>
      <c r="D72" s="2">
        <v>27.05</v>
      </c>
      <c r="E72" s="2">
        <v>27.28</v>
      </c>
      <c r="F72" s="2">
        <v>26.76</v>
      </c>
      <c r="G72" s="2">
        <v>26.79</v>
      </c>
      <c r="H72" s="2">
        <v>6588547</v>
      </c>
      <c r="I72" s="2">
        <v>26.79</v>
      </c>
      <c r="J72" s="2">
        <f t="shared" si="6"/>
        <v>1.9212478599961919E-2</v>
      </c>
      <c r="K72" s="2">
        <f t="shared" si="7"/>
        <v>-1.0178191936695174E-3</v>
      </c>
      <c r="L72" s="2">
        <f t="shared" si="8"/>
        <v>2.0230297793631436E-2</v>
      </c>
      <c r="M72" s="2">
        <f t="shared" si="9"/>
        <v>1.6800649291185406E-3</v>
      </c>
      <c r="N72" s="2">
        <f t="shared" si="10"/>
        <v>8.3046969760743244E-2</v>
      </c>
      <c r="O72" s="2">
        <f t="shared" si="11"/>
        <v>-0.40260105870442586</v>
      </c>
    </row>
    <row r="73" spans="1:15">
      <c r="A73" s="1" t="s">
        <v>0</v>
      </c>
      <c r="B73" s="16">
        <v>43144</v>
      </c>
      <c r="D73" s="2">
        <v>26.96</v>
      </c>
      <c r="E73" s="2">
        <v>27.48</v>
      </c>
      <c r="F73" s="2">
        <v>26.83</v>
      </c>
      <c r="G73" s="2">
        <v>27.37</v>
      </c>
      <c r="H73" s="2">
        <v>4948408</v>
      </c>
      <c r="I73" s="2">
        <v>27.37</v>
      </c>
      <c r="J73" s="2">
        <f t="shared" si="6"/>
        <v>2.1649869354236725E-2</v>
      </c>
      <c r="K73" s="2">
        <f t="shared" si="7"/>
        <v>1.6010892688711799E-3</v>
      </c>
      <c r="L73" s="2">
        <f t="shared" si="8"/>
        <v>2.0048780085365547E-2</v>
      </c>
      <c r="M73" s="2">
        <f t="shared" si="9"/>
        <v>1.6800649291141795E-3</v>
      </c>
      <c r="N73" s="2">
        <f t="shared" si="10"/>
        <v>8.3798860676841377E-2</v>
      </c>
      <c r="O73" s="2">
        <f t="shared" si="11"/>
        <v>-0.40453553516752222</v>
      </c>
    </row>
    <row r="74" spans="1:15">
      <c r="A74" s="1" t="s">
        <v>0</v>
      </c>
      <c r="B74" s="16">
        <v>43145</v>
      </c>
      <c r="D74" s="2">
        <v>27.59</v>
      </c>
      <c r="E74" s="2">
        <v>28.125</v>
      </c>
      <c r="F74" s="2">
        <v>26.965</v>
      </c>
      <c r="G74" s="2">
        <v>27.86</v>
      </c>
      <c r="H74" s="2">
        <v>7488300</v>
      </c>
      <c r="I74" s="2">
        <v>27.86</v>
      </c>
      <c r="J74" s="2">
        <f t="shared" si="6"/>
        <v>1.790281329923268E-2</v>
      </c>
      <c r="K74" s="2">
        <f t="shared" si="7"/>
        <v>1.804211430356526E-3</v>
      </c>
      <c r="L74" s="2">
        <f t="shared" si="8"/>
        <v>1.6098601868876156E-2</v>
      </c>
      <c r="M74" s="2">
        <f t="shared" si="9"/>
        <v>1.68006492902901E-3</v>
      </c>
      <c r="N74" s="2">
        <f t="shared" si="10"/>
        <v>0.10436092169451827</v>
      </c>
      <c r="O74" s="2">
        <f t="shared" si="11"/>
        <v>-0.40989293808777044</v>
      </c>
    </row>
    <row r="75" spans="1:15">
      <c r="A75" s="1" t="s">
        <v>0</v>
      </c>
      <c r="B75" s="16">
        <v>43146</v>
      </c>
      <c r="D75" s="2">
        <v>28.5</v>
      </c>
      <c r="E75" s="2">
        <v>28.715</v>
      </c>
      <c r="F75" s="2">
        <v>27.795000000000002</v>
      </c>
      <c r="G75" s="2">
        <v>28.22</v>
      </c>
      <c r="H75" s="2">
        <v>7152645</v>
      </c>
      <c r="I75" s="2">
        <v>28.22</v>
      </c>
      <c r="J75" s="2">
        <f t="shared" si="6"/>
        <v>1.2921751615218932E-2</v>
      </c>
      <c r="K75" s="2">
        <f t="shared" si="7"/>
        <v>1.4919471273249722E-3</v>
      </c>
      <c r="L75" s="2">
        <f t="shared" si="8"/>
        <v>1.142980448789396E-2</v>
      </c>
      <c r="M75" s="2">
        <f t="shared" si="9"/>
        <v>1.6800649289523482E-3</v>
      </c>
      <c r="N75" s="2">
        <f t="shared" si="10"/>
        <v>0.14698982215590939</v>
      </c>
      <c r="O75" s="2">
        <f t="shared" si="11"/>
        <v>-0.43206753647415563</v>
      </c>
    </row>
    <row r="76" spans="1:15">
      <c r="A76" s="1" t="s">
        <v>0</v>
      </c>
      <c r="B76" s="16">
        <v>43147</v>
      </c>
      <c r="D76" s="2">
        <v>28.4</v>
      </c>
      <c r="E76" s="2">
        <v>28.5</v>
      </c>
      <c r="F76" s="2">
        <v>27.99</v>
      </c>
      <c r="G76" s="2">
        <v>28.434999999999999</v>
      </c>
      <c r="H76" s="2">
        <v>4965950</v>
      </c>
      <c r="I76" s="2">
        <v>28.434999999999999</v>
      </c>
      <c r="J76" s="2">
        <f t="shared" si="6"/>
        <v>7.6187101346562678E-3</v>
      </c>
      <c r="K76" s="2">
        <f t="shared" si="7"/>
        <v>1.0768458498731587E-3</v>
      </c>
      <c r="L76" s="2">
        <f t="shared" si="8"/>
        <v>6.5418642847831091E-3</v>
      </c>
      <c r="M76" s="2">
        <f t="shared" si="9"/>
        <v>1.6800649288999513E-3</v>
      </c>
      <c r="N76" s="2">
        <f t="shared" si="10"/>
        <v>0.2568174538270252</v>
      </c>
      <c r="O76" s="2">
        <f t="shared" si="11"/>
        <v>-0.40884910339977765</v>
      </c>
    </row>
    <row r="77" spans="1:15">
      <c r="A77" s="1" t="s">
        <v>0</v>
      </c>
      <c r="B77" s="16">
        <v>43150</v>
      </c>
      <c r="D77" s="2">
        <v>29.08</v>
      </c>
      <c r="E77" s="2">
        <v>29.24</v>
      </c>
      <c r="F77" s="2">
        <v>28.515000000000001</v>
      </c>
      <c r="G77" s="2">
        <v>28.795000000000002</v>
      </c>
      <c r="H77" s="2">
        <v>5073840</v>
      </c>
      <c r="I77" s="2">
        <v>28.795000000000002</v>
      </c>
      <c r="J77" s="2">
        <f t="shared" si="6"/>
        <v>1.2660453666256479E-2</v>
      </c>
      <c r="K77" s="2">
        <f t="shared" si="7"/>
        <v>6.3491209506213477E-4</v>
      </c>
      <c r="L77" s="2">
        <f t="shared" si="8"/>
        <v>1.2025541571194344E-2</v>
      </c>
      <c r="M77" s="2">
        <f t="shared" si="9"/>
        <v>1.6800649289606829E-3</v>
      </c>
      <c r="N77" s="2">
        <f t="shared" si="10"/>
        <v>0.13970804716064222</v>
      </c>
      <c r="O77" s="2">
        <f t="shared" si="11"/>
        <v>-13.045694571763402</v>
      </c>
    </row>
    <row r="78" spans="1:15">
      <c r="A78" s="1" t="s">
        <v>0</v>
      </c>
      <c r="B78" s="16">
        <v>43151</v>
      </c>
      <c r="D78" s="2">
        <v>29.02</v>
      </c>
      <c r="E78" s="2">
        <v>29.17</v>
      </c>
      <c r="F78" s="2">
        <v>28.65</v>
      </c>
      <c r="G78" s="2">
        <v>28.835000000000001</v>
      </c>
      <c r="H78" s="2">
        <v>5299525</v>
      </c>
      <c r="I78" s="2">
        <v>28.835000000000001</v>
      </c>
      <c r="J78" s="2">
        <f t="shared" si="6"/>
        <v>1.3891300573015853E-3</v>
      </c>
      <c r="K78" s="2">
        <f t="shared" si="7"/>
        <v>1.0550703491284156E-3</v>
      </c>
      <c r="L78" s="2">
        <f t="shared" si="8"/>
        <v>3.3405970817316968E-4</v>
      </c>
      <c r="M78" s="2">
        <f t="shared" si="9"/>
        <v>1.6800649288744912E-3</v>
      </c>
      <c r="N78" s="2">
        <f t="shared" si="10"/>
        <v>5.0292354563262087</v>
      </c>
      <c r="O78" s="2">
        <f t="shared" si="11"/>
        <v>-0.41974731346037758</v>
      </c>
    </row>
    <row r="79" spans="1:15">
      <c r="A79" s="1" t="s">
        <v>0</v>
      </c>
      <c r="B79" s="16">
        <v>43152</v>
      </c>
      <c r="D79" s="2">
        <v>28.484999999999999</v>
      </c>
      <c r="E79" s="2">
        <v>28.754999999999999</v>
      </c>
      <c r="F79" s="2">
        <v>28.3</v>
      </c>
      <c r="G79" s="2">
        <v>28.6</v>
      </c>
      <c r="H79" s="2">
        <v>4088148</v>
      </c>
      <c r="I79" s="2">
        <v>28.6</v>
      </c>
      <c r="J79" s="2">
        <f t="shared" si="6"/>
        <v>-8.1498179295994254E-3</v>
      </c>
      <c r="K79" s="2">
        <f t="shared" si="7"/>
        <v>1.1576440885750075E-4</v>
      </c>
      <c r="L79" s="2">
        <f t="shared" si="8"/>
        <v>-8.2655823384569262E-3</v>
      </c>
      <c r="M79" s="2">
        <f t="shared" si="9"/>
        <v>1.6800649289151757E-3</v>
      </c>
      <c r="N79" s="2">
        <f t="shared" si="10"/>
        <v>-0.20326032215521084</v>
      </c>
      <c r="O79" s="2">
        <f t="shared" si="11"/>
        <v>-1.100259154470896</v>
      </c>
    </row>
    <row r="80" spans="1:15">
      <c r="A80" s="1" t="s">
        <v>0</v>
      </c>
      <c r="B80" s="16">
        <v>43153</v>
      </c>
      <c r="D80" s="2">
        <v>28.21</v>
      </c>
      <c r="E80" s="2">
        <v>28.65</v>
      </c>
      <c r="F80" s="2">
        <v>28</v>
      </c>
      <c r="G80" s="2">
        <v>28.54</v>
      </c>
      <c r="H80" s="2">
        <v>4531594</v>
      </c>
      <c r="I80" s="2">
        <v>28.54</v>
      </c>
      <c r="J80" s="2">
        <f t="shared" si="6"/>
        <v>-2.0979020979021773E-3</v>
      </c>
      <c r="K80" s="2">
        <f t="shared" si="7"/>
        <v>-6.7917244318291346E-4</v>
      </c>
      <c r="L80" s="2">
        <f t="shared" si="8"/>
        <v>-1.4187296547192637E-3</v>
      </c>
      <c r="M80" s="2">
        <f t="shared" si="9"/>
        <v>1.6800649288756253E-3</v>
      </c>
      <c r="N80" s="2">
        <f t="shared" si="10"/>
        <v>-1.1842037158291967</v>
      </c>
      <c r="O80" s="2">
        <f t="shared" si="11"/>
        <v>-0.40874745966492393</v>
      </c>
    </row>
    <row r="81" spans="1:15">
      <c r="A81" s="1" t="s">
        <v>0</v>
      </c>
      <c r="B81" s="16">
        <v>43154</v>
      </c>
      <c r="D81" s="2">
        <v>28.61</v>
      </c>
      <c r="E81" s="2">
        <v>28.745000000000001</v>
      </c>
      <c r="F81" s="2">
        <v>28.125</v>
      </c>
      <c r="G81" s="2">
        <v>28.19</v>
      </c>
      <c r="H81" s="2">
        <v>2968893</v>
      </c>
      <c r="I81" s="2">
        <v>28.19</v>
      </c>
      <c r="J81" s="2">
        <f t="shared" si="6"/>
        <v>-1.226348983882263E-2</v>
      </c>
      <c r="K81" s="2">
        <f t="shared" si="7"/>
        <v>-1.7483056746775863E-4</v>
      </c>
      <c r="L81" s="2">
        <f t="shared" si="8"/>
        <v>-1.2088659271354871E-2</v>
      </c>
      <c r="M81" s="2">
        <f t="shared" si="9"/>
        <v>1.6800649289615908E-3</v>
      </c>
      <c r="N81" s="2">
        <f t="shared" si="10"/>
        <v>-0.13897859897024734</v>
      </c>
      <c r="O81" s="2">
        <f t="shared" si="11"/>
        <v>-0.40650880357708807</v>
      </c>
    </row>
    <row r="82" spans="1:15">
      <c r="A82" s="1" t="s">
        <v>0</v>
      </c>
      <c r="B82" s="16">
        <v>43157</v>
      </c>
      <c r="D82" s="2">
        <v>28.63</v>
      </c>
      <c r="E82" s="2">
        <v>28.73</v>
      </c>
      <c r="F82" s="2">
        <v>28.42</v>
      </c>
      <c r="G82" s="2">
        <v>28.55</v>
      </c>
      <c r="H82" s="2">
        <v>3958536</v>
      </c>
      <c r="I82" s="2">
        <v>28.55</v>
      </c>
      <c r="J82" s="2">
        <f t="shared" si="6"/>
        <v>1.2770485987938965E-2</v>
      </c>
      <c r="K82" s="2">
        <f t="shared" si="7"/>
        <v>-1.0219890097828703E-3</v>
      </c>
      <c r="L82" s="2">
        <f t="shared" si="8"/>
        <v>1.3792474997721835E-2</v>
      </c>
      <c r="M82" s="2">
        <f t="shared" si="9"/>
        <v>1.6800649289878933E-3</v>
      </c>
      <c r="N82" s="2">
        <f t="shared" si="10"/>
        <v>0.12181025735159189</v>
      </c>
      <c r="O82" s="2">
        <f t="shared" si="11"/>
        <v>-0.45810519096376656</v>
      </c>
    </row>
    <row r="83" spans="1:15">
      <c r="A83" s="1" t="s">
        <v>0</v>
      </c>
      <c r="B83" s="16">
        <v>43158</v>
      </c>
      <c r="D83" s="2">
        <v>28.68</v>
      </c>
      <c r="E83" s="2">
        <v>28.795000000000002</v>
      </c>
      <c r="F83" s="2">
        <v>28.48</v>
      </c>
      <c r="G83" s="2">
        <v>28.72</v>
      </c>
      <c r="H83" s="2">
        <v>3177216</v>
      </c>
      <c r="I83" s="2">
        <v>28.72</v>
      </c>
      <c r="J83" s="2">
        <f t="shared" si="6"/>
        <v>5.9544658493869756E-3</v>
      </c>
      <c r="K83" s="2">
        <f t="shared" si="7"/>
        <v>1.0642399921059311E-3</v>
      </c>
      <c r="L83" s="2">
        <f t="shared" si="8"/>
        <v>4.8902258572810445E-3</v>
      </c>
      <c r="M83" s="2">
        <f t="shared" si="9"/>
        <v>1.6800649288886888E-3</v>
      </c>
      <c r="N83" s="2">
        <f t="shared" si="10"/>
        <v>0.34355569209288045</v>
      </c>
      <c r="O83" s="2">
        <f t="shared" si="11"/>
        <v>-0.40405413255366263</v>
      </c>
    </row>
    <row r="84" spans="1:15">
      <c r="A84" s="1" t="s">
        <v>0</v>
      </c>
      <c r="B84" s="16">
        <v>43159</v>
      </c>
      <c r="D84" s="2">
        <v>28.4</v>
      </c>
      <c r="E84" s="2">
        <v>28.585000000000001</v>
      </c>
      <c r="F84" s="2">
        <v>28.204999999999998</v>
      </c>
      <c r="G84" s="2">
        <v>28.25</v>
      </c>
      <c r="H84" s="2">
        <v>3987727</v>
      </c>
      <c r="I84" s="2">
        <v>28.25</v>
      </c>
      <c r="J84" s="2">
        <f t="shared" si="6"/>
        <v>-1.6364902506963749E-2</v>
      </c>
      <c r="K84" s="2">
        <f t="shared" si="7"/>
        <v>4.962207933614718E-4</v>
      </c>
      <c r="L84" s="2">
        <f t="shared" si="8"/>
        <v>-1.6861123300325222E-2</v>
      </c>
      <c r="M84" s="2">
        <f t="shared" si="9"/>
        <v>1.6800649290440008E-3</v>
      </c>
      <c r="N84" s="2">
        <f t="shared" si="10"/>
        <v>-9.9641340563092567E-2</v>
      </c>
      <c r="O84" s="2">
        <f t="shared" si="11"/>
        <v>-0.40365942268891042</v>
      </c>
    </row>
    <row r="85" spans="1:15">
      <c r="A85" s="1" t="s">
        <v>0</v>
      </c>
      <c r="B85" s="16">
        <v>43160</v>
      </c>
      <c r="D85" s="2">
        <v>28.11</v>
      </c>
      <c r="E85" s="2">
        <v>28.33</v>
      </c>
      <c r="F85" s="2">
        <v>27.625</v>
      </c>
      <c r="G85" s="2">
        <v>27.715</v>
      </c>
      <c r="H85" s="2">
        <v>6589998</v>
      </c>
      <c r="I85" s="2">
        <v>27.715</v>
      </c>
      <c r="J85" s="2">
        <f t="shared" si="6"/>
        <v>-1.8938053097345139E-2</v>
      </c>
      <c r="K85" s="2">
        <f t="shared" si="7"/>
        <v>-1.363783941447027E-3</v>
      </c>
      <c r="L85" s="2">
        <f t="shared" si="8"/>
        <v>-1.757426915589811E-2</v>
      </c>
      <c r="M85" s="2">
        <f t="shared" si="9"/>
        <v>1.6800649290586486E-3</v>
      </c>
      <c r="N85" s="2">
        <f t="shared" si="10"/>
        <v>-9.5597996944003838E-2</v>
      </c>
      <c r="O85" s="2">
        <f t="shared" si="11"/>
        <v>-0.40021579324918855</v>
      </c>
    </row>
    <row r="86" spans="1:15">
      <c r="A86" s="1" t="s">
        <v>0</v>
      </c>
      <c r="B86" s="16">
        <v>43161</v>
      </c>
      <c r="D86" s="2">
        <v>27.2</v>
      </c>
      <c r="E86" s="2">
        <v>27.385000000000002</v>
      </c>
      <c r="F86" s="2">
        <v>26.254999999999999</v>
      </c>
      <c r="G86" s="2">
        <v>26.69</v>
      </c>
      <c r="H86" s="2">
        <v>10361033</v>
      </c>
      <c r="I86" s="2">
        <v>26.69</v>
      </c>
      <c r="J86" s="2">
        <f t="shared" si="6"/>
        <v>-3.6983582897347954E-2</v>
      </c>
      <c r="K86" s="2">
        <f t="shared" si="7"/>
        <v>-1.5782197715776252E-3</v>
      </c>
      <c r="L86" s="2">
        <f t="shared" si="8"/>
        <v>-3.5405363125770327E-2</v>
      </c>
      <c r="M86" s="2">
        <f t="shared" si="9"/>
        <v>1.6800649296221286E-3</v>
      </c>
      <c r="N86" s="2">
        <f t="shared" si="10"/>
        <v>-4.745227223497301E-2</v>
      </c>
      <c r="O86" s="2">
        <f t="shared" si="11"/>
        <v>-0.46070213888503142</v>
      </c>
    </row>
    <row r="87" spans="1:15">
      <c r="A87" s="1" t="s">
        <v>0</v>
      </c>
      <c r="B87" s="16">
        <v>43164</v>
      </c>
      <c r="D87" s="2">
        <v>26.5</v>
      </c>
      <c r="E87" s="2">
        <v>26.95</v>
      </c>
      <c r="F87" s="2">
        <v>26.145</v>
      </c>
      <c r="G87" s="2">
        <v>26.48</v>
      </c>
      <c r="H87" s="2">
        <v>5669131</v>
      </c>
      <c r="I87" s="2">
        <v>26.48</v>
      </c>
      <c r="J87" s="2">
        <f t="shared" si="6"/>
        <v>-7.8681153990258837E-3</v>
      </c>
      <c r="K87" s="2">
        <f t="shared" si="7"/>
        <v>-3.0820603074852024E-3</v>
      </c>
      <c r="L87" s="2">
        <f t="shared" si="8"/>
        <v>-4.7860550915406813E-3</v>
      </c>
      <c r="M87" s="2">
        <f t="shared" si="9"/>
        <v>1.6800649288880878E-3</v>
      </c>
      <c r="N87" s="2">
        <f t="shared" si="10"/>
        <v>-0.35103334515676399</v>
      </c>
      <c r="O87" s="2">
        <f t="shared" si="11"/>
        <v>-0.43239964003491915</v>
      </c>
    </row>
    <row r="88" spans="1:15">
      <c r="A88" s="1" t="s">
        <v>0</v>
      </c>
      <c r="B88" s="16">
        <v>43165</v>
      </c>
      <c r="D88" s="2">
        <v>26.78</v>
      </c>
      <c r="E88" s="2">
        <v>26.95</v>
      </c>
      <c r="F88" s="2">
        <v>26.53</v>
      </c>
      <c r="G88" s="2">
        <v>26.635000000000002</v>
      </c>
      <c r="H88" s="2">
        <v>5003432</v>
      </c>
      <c r="I88" s="2">
        <v>26.635000000000002</v>
      </c>
      <c r="J88" s="2">
        <f t="shared" si="6"/>
        <v>5.853474320241735E-3</v>
      </c>
      <c r="K88" s="2">
        <f t="shared" si="7"/>
        <v>-6.5569650818741282E-4</v>
      </c>
      <c r="L88" s="2">
        <f t="shared" si="8"/>
        <v>6.5091708284291481E-3</v>
      </c>
      <c r="M88" s="2">
        <f t="shared" si="9"/>
        <v>1.680064928899697E-3</v>
      </c>
      <c r="N88" s="2">
        <f t="shared" si="10"/>
        <v>0.25810736469873008</v>
      </c>
      <c r="O88" s="2">
        <f t="shared" si="11"/>
        <v>-0.41213796672526715</v>
      </c>
    </row>
    <row r="89" spans="1:15">
      <c r="A89" s="1" t="s">
        <v>0</v>
      </c>
      <c r="B89" s="16">
        <v>43166</v>
      </c>
      <c r="D89" s="2">
        <v>26.4</v>
      </c>
      <c r="E89" s="2">
        <v>27.004999999999999</v>
      </c>
      <c r="F89" s="2">
        <v>26.004999999999999</v>
      </c>
      <c r="G89" s="2">
        <v>26.925000000000001</v>
      </c>
      <c r="H89" s="2">
        <v>7287211</v>
      </c>
      <c r="I89" s="2">
        <v>26.925000000000001</v>
      </c>
      <c r="J89" s="2">
        <f t="shared" si="6"/>
        <v>1.0887929416181684E-2</v>
      </c>
      <c r="K89" s="2">
        <f t="shared" si="7"/>
        <v>4.878045730013535E-4</v>
      </c>
      <c r="L89" s="2">
        <f t="shared" si="8"/>
        <v>1.0400124843180331E-2</v>
      </c>
      <c r="M89" s="2">
        <f t="shared" si="9"/>
        <v>1.680064928938941E-3</v>
      </c>
      <c r="N89" s="2">
        <f t="shared" si="10"/>
        <v>0.16154276552176286</v>
      </c>
      <c r="O89" s="2">
        <f t="shared" si="11"/>
        <v>-0.40583635667109919</v>
      </c>
    </row>
    <row r="90" spans="1:15">
      <c r="A90" s="1" t="s">
        <v>0</v>
      </c>
      <c r="B90" s="16">
        <v>43167</v>
      </c>
      <c r="D90" s="2">
        <v>27.05</v>
      </c>
      <c r="E90" s="2">
        <v>27.145</v>
      </c>
      <c r="F90" s="2">
        <v>26.285</v>
      </c>
      <c r="G90" s="2">
        <v>26.56</v>
      </c>
      <c r="H90" s="2">
        <v>6318844</v>
      </c>
      <c r="I90" s="2">
        <v>26.56</v>
      </c>
      <c r="J90" s="2">
        <f t="shared" si="6"/>
        <v>-1.3556174558960148E-2</v>
      </c>
      <c r="K90" s="2">
        <f t="shared" si="7"/>
        <v>9.0735543869440653E-4</v>
      </c>
      <c r="L90" s="2">
        <f t="shared" si="8"/>
        <v>-1.4463529997654554E-2</v>
      </c>
      <c r="M90" s="2">
        <f t="shared" si="9"/>
        <v>1.6800649289992033E-3</v>
      </c>
      <c r="N90" s="2">
        <f t="shared" si="10"/>
        <v>-0.11615870601932221</v>
      </c>
      <c r="O90" s="2">
        <f t="shared" si="11"/>
        <v>-0.44988889547242061</v>
      </c>
    </row>
    <row r="91" spans="1:15">
      <c r="A91" s="1" t="s">
        <v>0</v>
      </c>
      <c r="B91" s="16">
        <v>43168</v>
      </c>
      <c r="D91" s="2">
        <v>26.1</v>
      </c>
      <c r="E91" s="2">
        <v>26.68</v>
      </c>
      <c r="F91" s="2">
        <v>26.03</v>
      </c>
      <c r="G91" s="2">
        <v>26.39</v>
      </c>
      <c r="H91" s="2">
        <v>6175824</v>
      </c>
      <c r="I91" s="2">
        <v>26.39</v>
      </c>
      <c r="J91" s="2">
        <f t="shared" si="6"/>
        <v>-6.4006024096384846E-3</v>
      </c>
      <c r="K91" s="2">
        <f t="shared" si="7"/>
        <v>-1.1297160592979717E-3</v>
      </c>
      <c r="L91" s="2">
        <f t="shared" si="8"/>
        <v>-5.2708863503405125E-3</v>
      </c>
      <c r="M91" s="2">
        <f t="shared" si="9"/>
        <v>1.680064928890996E-3</v>
      </c>
      <c r="N91" s="2">
        <f t="shared" si="10"/>
        <v>-0.31874429028098084</v>
      </c>
      <c r="O91" s="2">
        <f t="shared" si="11"/>
        <v>-0.4327331099476584</v>
      </c>
    </row>
    <row r="92" spans="1:15">
      <c r="A92" s="1" t="s">
        <v>0</v>
      </c>
      <c r="B92" s="16">
        <v>43171</v>
      </c>
      <c r="D92" s="2">
        <v>26.23</v>
      </c>
      <c r="E92" s="2">
        <v>26.434999999999999</v>
      </c>
      <c r="F92" s="2">
        <v>26.085000000000001</v>
      </c>
      <c r="G92" s="2">
        <v>26.204999999999998</v>
      </c>
      <c r="H92" s="2">
        <v>4557760</v>
      </c>
      <c r="I92" s="2">
        <v>26.204999999999998</v>
      </c>
      <c r="J92" s="2">
        <f t="shared" si="6"/>
        <v>-7.0102311481622685E-3</v>
      </c>
      <c r="K92" s="2">
        <f t="shared" si="7"/>
        <v>-5.3339998683998564E-4</v>
      </c>
      <c r="L92" s="2">
        <f t="shared" si="8"/>
        <v>-6.4768311613222825E-3</v>
      </c>
      <c r="M92" s="2">
        <f t="shared" si="9"/>
        <v>1.6800649288994463E-3</v>
      </c>
      <c r="N92" s="2">
        <f t="shared" si="10"/>
        <v>-0.25939612860873951</v>
      </c>
      <c r="O92" s="2">
        <f t="shared" si="11"/>
        <v>-0.4118763682383107</v>
      </c>
    </row>
    <row r="93" spans="1:15">
      <c r="A93" s="1" t="s">
        <v>0</v>
      </c>
      <c r="B93" s="16">
        <v>43172</v>
      </c>
      <c r="D93" s="2">
        <v>26.19</v>
      </c>
      <c r="E93" s="2">
        <v>26.85</v>
      </c>
      <c r="F93" s="2">
        <v>26.19</v>
      </c>
      <c r="G93" s="2">
        <v>26.465</v>
      </c>
      <c r="H93" s="2">
        <v>4969310</v>
      </c>
      <c r="I93" s="2">
        <v>26.465</v>
      </c>
      <c r="J93" s="2">
        <f t="shared" si="6"/>
        <v>9.9217706544553162E-3</v>
      </c>
      <c r="K93" s="2">
        <f t="shared" si="7"/>
        <v>-5.8420394876334929E-4</v>
      </c>
      <c r="L93" s="2">
        <f t="shared" si="8"/>
        <v>1.0505974603218666E-2</v>
      </c>
      <c r="M93" s="2">
        <f t="shared" si="9"/>
        <v>1.6800649289402609E-3</v>
      </c>
      <c r="N93" s="2">
        <f t="shared" si="10"/>
        <v>0.15991519039324037</v>
      </c>
      <c r="O93" s="2">
        <f t="shared" si="11"/>
        <v>-21.267869534208465</v>
      </c>
    </row>
    <row r="94" spans="1:15">
      <c r="A94" s="1" t="s">
        <v>0</v>
      </c>
      <c r="B94" s="16">
        <v>43173</v>
      </c>
      <c r="D94" s="2">
        <v>26.42</v>
      </c>
      <c r="E94" s="2">
        <v>26.734999999999999</v>
      </c>
      <c r="F94" s="2">
        <v>26.25</v>
      </c>
      <c r="G94" s="2">
        <v>26.48</v>
      </c>
      <c r="H94" s="2">
        <v>5015851</v>
      </c>
      <c r="I94" s="2">
        <v>26.48</v>
      </c>
      <c r="J94" s="2">
        <f t="shared" si="6"/>
        <v>5.6678632155679454E-4</v>
      </c>
      <c r="K94" s="2">
        <f t="shared" si="7"/>
        <v>8.2683972504624559E-4</v>
      </c>
      <c r="L94" s="2">
        <f t="shared" si="8"/>
        <v>-2.6005340348945105E-4</v>
      </c>
      <c r="M94" s="2">
        <f t="shared" si="9"/>
        <v>1.680064928874465E-3</v>
      </c>
      <c r="N94" s="2">
        <f t="shared" si="10"/>
        <v>-6.4604612219298101</v>
      </c>
      <c r="O94" s="2">
        <f t="shared" si="11"/>
        <v>-1.1521405638197157</v>
      </c>
    </row>
    <row r="95" spans="1:15">
      <c r="A95" s="1" t="s">
        <v>0</v>
      </c>
      <c r="B95" s="16">
        <v>43174</v>
      </c>
      <c r="D95" s="2">
        <v>26.344999999999999</v>
      </c>
      <c r="E95" s="2">
        <v>26.614999999999998</v>
      </c>
      <c r="F95" s="2">
        <v>26.23</v>
      </c>
      <c r="G95" s="2">
        <v>26.445</v>
      </c>
      <c r="H95" s="2">
        <v>4404267</v>
      </c>
      <c r="I95" s="2">
        <v>26.445</v>
      </c>
      <c r="J95" s="2">
        <f t="shared" si="6"/>
        <v>-1.3217522658610324E-3</v>
      </c>
      <c r="K95" s="2">
        <f t="shared" si="7"/>
        <v>4.723365038331662E-5</v>
      </c>
      <c r="L95" s="2">
        <f t="shared" si="8"/>
        <v>-1.3689859162443491E-3</v>
      </c>
      <c r="M95" s="2">
        <f t="shared" si="9"/>
        <v>1.6800649288755424E-3</v>
      </c>
      <c r="N95" s="2">
        <f t="shared" si="10"/>
        <v>-1.2272331723357695</v>
      </c>
      <c r="O95" s="2">
        <f t="shared" si="11"/>
        <v>-0.42306114423851099</v>
      </c>
    </row>
    <row r="96" spans="1:15">
      <c r="A96" s="1" t="s">
        <v>0</v>
      </c>
      <c r="B96" s="16">
        <v>43175</v>
      </c>
      <c r="D96" s="2">
        <v>26.36</v>
      </c>
      <c r="E96" s="2">
        <v>26.8</v>
      </c>
      <c r="F96" s="2">
        <v>26.355</v>
      </c>
      <c r="G96" s="2">
        <v>26.645</v>
      </c>
      <c r="H96" s="2">
        <v>5222828</v>
      </c>
      <c r="I96" s="2">
        <v>26.645</v>
      </c>
      <c r="J96" s="2">
        <f t="shared" si="6"/>
        <v>7.5628663263376554E-3</v>
      </c>
      <c r="K96" s="2">
        <f t="shared" si="7"/>
        <v>-1.1014941970998268E-4</v>
      </c>
      <c r="L96" s="2">
        <f t="shared" si="8"/>
        <v>7.6730157460476378E-3</v>
      </c>
      <c r="M96" s="2">
        <f t="shared" si="9"/>
        <v>1.6800649289095422E-3</v>
      </c>
      <c r="N96" s="2">
        <f t="shared" si="10"/>
        <v>0.21895757607104374</v>
      </c>
      <c r="O96" s="2">
        <f t="shared" si="11"/>
        <v>-0.40033579331579716</v>
      </c>
    </row>
    <row r="97" spans="1:15">
      <c r="A97" s="1" t="s">
        <v>0</v>
      </c>
      <c r="B97" s="16">
        <v>43178</v>
      </c>
      <c r="D97" s="2">
        <v>26.465</v>
      </c>
      <c r="E97" s="2">
        <v>26.495000000000001</v>
      </c>
      <c r="F97" s="2">
        <v>25.54</v>
      </c>
      <c r="G97" s="2">
        <v>25.765000000000001</v>
      </c>
      <c r="H97" s="2">
        <v>7166693</v>
      </c>
      <c r="I97" s="2">
        <v>25.765000000000001</v>
      </c>
      <c r="J97" s="2">
        <f t="shared" si="6"/>
        <v>-3.3026834302871046E-2</v>
      </c>
      <c r="K97" s="2">
        <f t="shared" si="7"/>
        <v>6.3025830082280077E-4</v>
      </c>
      <c r="L97" s="2">
        <f t="shared" si="8"/>
        <v>-3.3657092603693844E-2</v>
      </c>
      <c r="M97" s="2">
        <f t="shared" si="9"/>
        <v>1.6800649295501105E-3</v>
      </c>
      <c r="N97" s="2">
        <f t="shared" si="10"/>
        <v>-4.9917114033959202E-2</v>
      </c>
      <c r="O97" s="2">
        <f t="shared" si="11"/>
        <v>-0.40359724414226944</v>
      </c>
    </row>
    <row r="98" spans="1:15">
      <c r="A98" s="1" t="s">
        <v>0</v>
      </c>
      <c r="B98" s="16">
        <v>43179</v>
      </c>
      <c r="D98" s="2">
        <v>25.684999999999999</v>
      </c>
      <c r="E98" s="2">
        <v>26.265000000000001</v>
      </c>
      <c r="F98" s="2">
        <v>25.684999999999999</v>
      </c>
      <c r="G98" s="2">
        <v>26.15</v>
      </c>
      <c r="H98" s="2">
        <v>5362628</v>
      </c>
      <c r="I98" s="2">
        <v>26.15</v>
      </c>
      <c r="J98" s="2">
        <f t="shared" si="6"/>
        <v>1.4942751795070755E-2</v>
      </c>
      <c r="K98" s="2">
        <f t="shared" si="7"/>
        <v>-2.7523210871510466E-3</v>
      </c>
      <c r="L98" s="2">
        <f t="shared" si="8"/>
        <v>1.7695072882221802E-2</v>
      </c>
      <c r="M98" s="2">
        <f t="shared" si="9"/>
        <v>1.68006492906119E-3</v>
      </c>
      <c r="N98" s="2">
        <f t="shared" si="10"/>
        <v>9.4945352316075926E-2</v>
      </c>
      <c r="O98" s="2">
        <f t="shared" si="11"/>
        <v>-0.3999866249218918</v>
      </c>
    </row>
    <row r="99" spans="1:15">
      <c r="A99" s="1" t="s">
        <v>0</v>
      </c>
      <c r="B99" s="16">
        <v>43180</v>
      </c>
      <c r="D99" s="2">
        <v>26.085000000000001</v>
      </c>
      <c r="E99" s="2">
        <v>27.22</v>
      </c>
      <c r="F99" s="2">
        <v>26.024999999999999</v>
      </c>
      <c r="G99" s="2">
        <v>27.22</v>
      </c>
      <c r="H99" s="2">
        <v>6532607</v>
      </c>
      <c r="I99" s="2">
        <v>27.22</v>
      </c>
      <c r="J99" s="2">
        <f t="shared" si="6"/>
        <v>4.0917782026768657E-2</v>
      </c>
      <c r="K99" s="2">
        <f t="shared" si="7"/>
        <v>1.2452677264942155E-3</v>
      </c>
      <c r="L99" s="2">
        <f t="shared" si="8"/>
        <v>3.9672514300274443E-2</v>
      </c>
      <c r="M99" s="2">
        <f t="shared" si="9"/>
        <v>1.6800649298132203E-3</v>
      </c>
      <c r="N99" s="2">
        <f t="shared" si="10"/>
        <v>4.234833509913432E-2</v>
      </c>
      <c r="O99" s="2">
        <f t="shared" si="11"/>
        <v>-0.39989763914792725</v>
      </c>
    </row>
    <row r="100" spans="1:15">
      <c r="A100" s="1" t="s">
        <v>0</v>
      </c>
      <c r="B100" s="16">
        <v>43181</v>
      </c>
      <c r="D100" s="2">
        <v>26.975000000000001</v>
      </c>
      <c r="E100" s="2">
        <v>27.46</v>
      </c>
      <c r="F100" s="2">
        <v>25.715</v>
      </c>
      <c r="G100" s="2">
        <v>26.175000000000001</v>
      </c>
      <c r="H100" s="2">
        <v>7237675</v>
      </c>
      <c r="I100" s="2">
        <v>26.175000000000001</v>
      </c>
      <c r="J100" s="2">
        <f t="shared" si="6"/>
        <v>-3.8390889052167455E-2</v>
      </c>
      <c r="K100" s="2">
        <f t="shared" si="7"/>
        <v>3.4099203477681002E-3</v>
      </c>
      <c r="L100" s="2">
        <f t="shared" si="8"/>
        <v>-4.1800809399935558E-2</v>
      </c>
      <c r="M100" s="2">
        <f t="shared" si="9"/>
        <v>1.6800649299166487E-3</v>
      </c>
      <c r="N100" s="2">
        <f t="shared" si="10"/>
        <v>-4.019216264073678E-2</v>
      </c>
      <c r="O100" s="2">
        <f t="shared" si="11"/>
        <v>-0.40059602627580593</v>
      </c>
    </row>
    <row r="101" spans="1:15">
      <c r="A101" s="1" t="s">
        <v>0</v>
      </c>
      <c r="B101" s="16">
        <v>43182</v>
      </c>
      <c r="D101" s="2">
        <v>25.6</v>
      </c>
      <c r="E101" s="2">
        <v>25.805</v>
      </c>
      <c r="F101" s="2">
        <v>25.11</v>
      </c>
      <c r="G101" s="2">
        <v>25.29</v>
      </c>
      <c r="H101" s="2">
        <v>6622806</v>
      </c>
      <c r="I101" s="2">
        <v>25.29</v>
      </c>
      <c r="J101" s="2">
        <f t="shared" si="6"/>
        <v>-3.3810888252149056E-2</v>
      </c>
      <c r="K101" s="2">
        <f t="shared" si="7"/>
        <v>-3.1993394378573938E-3</v>
      </c>
      <c r="L101" s="2">
        <f t="shared" si="8"/>
        <v>-3.0611548814291661E-2</v>
      </c>
      <c r="M101" s="2">
        <f t="shared" si="9"/>
        <v>1.6800649294333608E-3</v>
      </c>
      <c r="N101" s="2">
        <f t="shared" si="10"/>
        <v>-5.4883369006438067E-2</v>
      </c>
      <c r="O101" s="2">
        <f t="shared" si="11"/>
        <v>-0.40826008037235872</v>
      </c>
    </row>
    <row r="102" spans="1:15">
      <c r="A102" s="1" t="s">
        <v>0</v>
      </c>
      <c r="B102" s="16">
        <v>43185</v>
      </c>
      <c r="D102" s="2">
        <v>25.254999999999999</v>
      </c>
      <c r="E102" s="2">
        <v>25.495000000000001</v>
      </c>
      <c r="F102" s="2">
        <v>24.73</v>
      </c>
      <c r="G102" s="2">
        <v>24.905000000000001</v>
      </c>
      <c r="H102" s="2">
        <v>5898001</v>
      </c>
      <c r="I102" s="2">
        <v>24.905000000000001</v>
      </c>
      <c r="J102" s="2">
        <f t="shared" si="6"/>
        <v>-1.5223408461842548E-2</v>
      </c>
      <c r="K102" s="2">
        <f t="shared" si="7"/>
        <v>-2.8176609316627058E-3</v>
      </c>
      <c r="L102" s="2">
        <f t="shared" si="8"/>
        <v>-1.2405747530179843E-2</v>
      </c>
      <c r="M102" s="2">
        <f t="shared" si="9"/>
        <v>1.6800649289662236E-3</v>
      </c>
      <c r="N102" s="2">
        <f t="shared" si="10"/>
        <v>-0.135426335646367</v>
      </c>
      <c r="O102" s="2">
        <f t="shared" si="11"/>
        <v>-0.40938507831451509</v>
      </c>
    </row>
    <row r="103" spans="1:15">
      <c r="A103" s="1" t="s">
        <v>0</v>
      </c>
      <c r="B103" s="16">
        <v>43186</v>
      </c>
      <c r="D103" s="2">
        <v>25.5</v>
      </c>
      <c r="E103" s="2">
        <v>25.725000000000001</v>
      </c>
      <c r="F103" s="2">
        <v>25.11</v>
      </c>
      <c r="G103" s="2">
        <v>25.164999999999999</v>
      </c>
      <c r="H103" s="2">
        <v>5222331</v>
      </c>
      <c r="I103" s="2">
        <v>25.164999999999999</v>
      </c>
      <c r="J103" s="2">
        <f t="shared" si="6"/>
        <v>1.0439670748845532E-2</v>
      </c>
      <c r="K103" s="2">
        <f t="shared" si="7"/>
        <v>-1.2686565034845181E-3</v>
      </c>
      <c r="L103" s="2">
        <f t="shared" si="8"/>
        <v>1.170832725233005E-2</v>
      </c>
      <c r="M103" s="2">
        <f t="shared" si="9"/>
        <v>1.6800649289561923E-3</v>
      </c>
      <c r="N103" s="2">
        <f t="shared" si="10"/>
        <v>0.14349316454422181</v>
      </c>
      <c r="O103" s="2">
        <f t="shared" si="11"/>
        <v>-0.4025683580433016</v>
      </c>
    </row>
    <row r="104" spans="1:15">
      <c r="A104" s="1" t="s">
        <v>0</v>
      </c>
      <c r="B104" s="16">
        <v>43187</v>
      </c>
      <c r="D104" s="2">
        <v>24.8</v>
      </c>
      <c r="E104" s="2">
        <v>24.895</v>
      </c>
      <c r="F104" s="2">
        <v>24.335000000000001</v>
      </c>
      <c r="G104" s="2">
        <v>24.68</v>
      </c>
      <c r="H104" s="2">
        <v>6485603</v>
      </c>
      <c r="I104" s="2">
        <v>24.68</v>
      </c>
      <c r="J104" s="2">
        <f t="shared" si="6"/>
        <v>-1.9272799523147206E-2</v>
      </c>
      <c r="K104" s="2">
        <f t="shared" si="7"/>
        <v>8.6999939750397775E-4</v>
      </c>
      <c r="L104" s="2">
        <f t="shared" si="8"/>
        <v>-2.0142798920651184E-2</v>
      </c>
      <c r="M104" s="2">
        <f t="shared" si="9"/>
        <v>1.6800649291164335E-3</v>
      </c>
      <c r="N104" s="2">
        <f t="shared" si="10"/>
        <v>-8.3407719837483227E-2</v>
      </c>
      <c r="O104" s="2">
        <f t="shared" si="11"/>
        <v>-0.39985552483278169</v>
      </c>
    </row>
    <row r="105" spans="1:15">
      <c r="A105" s="1" t="s">
        <v>0</v>
      </c>
      <c r="B105" s="16">
        <v>43188</v>
      </c>
      <c r="D105" s="2">
        <v>24.93</v>
      </c>
      <c r="E105" s="2">
        <v>25.86</v>
      </c>
      <c r="F105" s="2">
        <v>24.82</v>
      </c>
      <c r="G105" s="2">
        <v>25.7</v>
      </c>
      <c r="H105" s="2">
        <v>6314818</v>
      </c>
      <c r="I105" s="2">
        <v>25.7</v>
      </c>
      <c r="J105" s="2">
        <f t="shared" si="6"/>
        <v>4.1329011345218783E-2</v>
      </c>
      <c r="K105" s="2">
        <f t="shared" si="7"/>
        <v>-1.6061161675244623E-3</v>
      </c>
      <c r="L105" s="2">
        <f t="shared" si="8"/>
        <v>4.2935127512743247E-2</v>
      </c>
      <c r="M105" s="2">
        <f t="shared" si="9"/>
        <v>1.6800649299739802E-3</v>
      </c>
      <c r="N105" s="2">
        <f t="shared" si="10"/>
        <v>3.9130311875173372E-2</v>
      </c>
      <c r="O105" s="2">
        <f t="shared" si="11"/>
        <v>-0.46545455828431465</v>
      </c>
    </row>
    <row r="106" spans="1:15">
      <c r="A106" s="1" t="s">
        <v>0</v>
      </c>
      <c r="B106" s="16">
        <v>43193</v>
      </c>
      <c r="D106" s="2">
        <v>25.5</v>
      </c>
      <c r="E106" s="2">
        <v>25.895</v>
      </c>
      <c r="F106" s="2">
        <v>25.13</v>
      </c>
      <c r="G106" s="2">
        <v>25.67</v>
      </c>
      <c r="H106" s="2">
        <v>4870862</v>
      </c>
      <c r="I106" s="2">
        <v>25.67</v>
      </c>
      <c r="J106" s="2">
        <f t="shared" si="6"/>
        <v>-1.1673151750971823E-3</v>
      </c>
      <c r="K106" s="2">
        <f t="shared" si="7"/>
        <v>3.4441905147010129E-3</v>
      </c>
      <c r="L106" s="2">
        <f t="shared" si="8"/>
        <v>-4.6115056897981952E-3</v>
      </c>
      <c r="M106" s="2">
        <f t="shared" si="9"/>
        <v>1.6800649288871092E-3</v>
      </c>
      <c r="N106" s="2">
        <f t="shared" si="10"/>
        <v>-0.36432025500994897</v>
      </c>
      <c r="O106" s="2">
        <f t="shared" si="11"/>
        <v>-0.40011497536263374</v>
      </c>
    </row>
    <row r="107" spans="1:15">
      <c r="A107" s="1" t="s">
        <v>0</v>
      </c>
      <c r="B107" s="16">
        <v>43194</v>
      </c>
      <c r="D107" s="2">
        <v>25.594999999999999</v>
      </c>
      <c r="E107" s="2">
        <v>25.675000000000001</v>
      </c>
      <c r="F107" s="2">
        <v>24.59</v>
      </c>
      <c r="G107" s="2">
        <v>24.715</v>
      </c>
      <c r="H107" s="2">
        <v>7109312</v>
      </c>
      <c r="I107" s="2">
        <v>24.715</v>
      </c>
      <c r="J107" s="2">
        <f t="shared" si="6"/>
        <v>-3.7202960654460528E-2</v>
      </c>
      <c r="K107" s="2">
        <f t="shared" si="7"/>
        <v>-9.7279265166873649E-5</v>
      </c>
      <c r="L107" s="2">
        <f t="shared" si="8"/>
        <v>-3.7105681389293654E-2</v>
      </c>
      <c r="M107" s="2">
        <f t="shared" si="9"/>
        <v>1.6800649296956692E-3</v>
      </c>
      <c r="N107" s="2">
        <f t="shared" si="10"/>
        <v>-4.5277835274584913E-2</v>
      </c>
      <c r="O107" s="2">
        <f t="shared" si="11"/>
        <v>-0.39949623516047056</v>
      </c>
    </row>
    <row r="108" spans="1:15">
      <c r="A108" s="1" t="s">
        <v>0</v>
      </c>
      <c r="B108" s="16">
        <v>43195</v>
      </c>
      <c r="D108" s="2">
        <v>25.25</v>
      </c>
      <c r="E108" s="2">
        <v>26.24</v>
      </c>
      <c r="F108" s="2">
        <v>25.25</v>
      </c>
      <c r="G108" s="2">
        <v>26.094999999999999</v>
      </c>
      <c r="H108" s="2">
        <v>6357034</v>
      </c>
      <c r="I108" s="2">
        <v>26.094999999999999</v>
      </c>
      <c r="J108" s="2">
        <f t="shared" si="6"/>
        <v>5.5836536516285618E-2</v>
      </c>
      <c r="K108" s="2">
        <f t="shared" si="7"/>
        <v>-3.1003423511535644E-3</v>
      </c>
      <c r="L108" s="2">
        <f t="shared" si="8"/>
        <v>5.8936878867439181E-2</v>
      </c>
      <c r="M108" s="2">
        <f t="shared" si="9"/>
        <v>1.6800649309463109E-3</v>
      </c>
      <c r="N108" s="2">
        <f t="shared" si="10"/>
        <v>2.8506174117654121E-2</v>
      </c>
      <c r="O108" s="2">
        <f t="shared" si="11"/>
        <v>-0.40115960215989843</v>
      </c>
    </row>
    <row r="109" spans="1:15">
      <c r="A109" s="1" t="s">
        <v>0</v>
      </c>
      <c r="B109" s="16">
        <v>43196</v>
      </c>
      <c r="D109" s="2">
        <v>26</v>
      </c>
      <c r="E109" s="2">
        <v>26.045000000000002</v>
      </c>
      <c r="F109" s="2">
        <v>25.364999999999998</v>
      </c>
      <c r="G109" s="2">
        <v>25.535</v>
      </c>
      <c r="H109" s="2">
        <v>4366571</v>
      </c>
      <c r="I109" s="2">
        <v>25.535</v>
      </c>
      <c r="J109" s="2">
        <f t="shared" si="6"/>
        <v>-2.1460049817972743E-2</v>
      </c>
      <c r="K109" s="2">
        <f t="shared" si="7"/>
        <v>4.6531882371145944E-3</v>
      </c>
      <c r="L109" s="2">
        <f t="shared" si="8"/>
        <v>-2.6113238055087338E-2</v>
      </c>
      <c r="M109" s="2">
        <f t="shared" si="9"/>
        <v>1.6800649292811611E-3</v>
      </c>
      <c r="N109" s="2">
        <f t="shared" si="10"/>
        <v>-6.4337671403943475E-2</v>
      </c>
      <c r="O109" s="2">
        <f t="shared" si="11"/>
        <v>-1.3775935313570338</v>
      </c>
    </row>
    <row r="110" spans="1:15">
      <c r="A110" s="1" t="s">
        <v>0</v>
      </c>
      <c r="B110" s="16">
        <v>43199</v>
      </c>
      <c r="D110" s="2">
        <v>25.74</v>
      </c>
      <c r="E110" s="2">
        <v>25.945</v>
      </c>
      <c r="F110" s="2">
        <v>25.06</v>
      </c>
      <c r="G110" s="2">
        <v>25.52</v>
      </c>
      <c r="H110" s="2">
        <v>3420401</v>
      </c>
      <c r="I110" s="2">
        <v>25.52</v>
      </c>
      <c r="J110" s="2">
        <f t="shared" si="6"/>
        <v>-5.8742901899356051E-4</v>
      </c>
      <c r="K110" s="2">
        <f t="shared" si="7"/>
        <v>-1.7883926477380789E-3</v>
      </c>
      <c r="L110" s="2">
        <f t="shared" si="8"/>
        <v>1.2009636287445185E-3</v>
      </c>
      <c r="M110" s="2">
        <f t="shared" si="9"/>
        <v>1.6800649288752851E-3</v>
      </c>
      <c r="N110" s="2">
        <f t="shared" si="10"/>
        <v>1.3989307325082083</v>
      </c>
      <c r="O110" s="2">
        <f t="shared" si="11"/>
        <v>-0.40069707340299182</v>
      </c>
    </row>
    <row r="111" spans="1:15">
      <c r="A111" s="1" t="s">
        <v>0</v>
      </c>
      <c r="B111" s="16">
        <v>43200</v>
      </c>
      <c r="D111" s="2">
        <v>26.06</v>
      </c>
      <c r="E111" s="2">
        <v>26.49</v>
      </c>
      <c r="F111" s="2">
        <v>25.94</v>
      </c>
      <c r="G111" s="2">
        <v>26.274999999999999</v>
      </c>
      <c r="H111" s="2">
        <v>5557485</v>
      </c>
      <c r="I111" s="2">
        <v>26.274999999999999</v>
      </c>
      <c r="J111" s="2">
        <f t="shared" si="6"/>
        <v>2.9584639498432562E-2</v>
      </c>
      <c r="K111" s="2">
        <f t="shared" si="7"/>
        <v>-4.8953928231622253E-5</v>
      </c>
      <c r="L111" s="2">
        <f t="shared" si="8"/>
        <v>2.9633593426664183E-2</v>
      </c>
      <c r="M111" s="2">
        <f t="shared" si="9"/>
        <v>1.6800649293982183E-3</v>
      </c>
      <c r="N111" s="2">
        <f t="shared" si="10"/>
        <v>5.6694606867572897E-2</v>
      </c>
      <c r="O111" s="2">
        <f t="shared" si="11"/>
        <v>-0.40534162124370621</v>
      </c>
    </row>
    <row r="112" spans="1:15">
      <c r="A112" s="1" t="s">
        <v>0</v>
      </c>
      <c r="B112" s="16">
        <v>43201</v>
      </c>
      <c r="D112" s="2">
        <v>26.28</v>
      </c>
      <c r="E112" s="2">
        <v>26.53</v>
      </c>
      <c r="F112" s="2">
        <v>25.875</v>
      </c>
      <c r="G112" s="2">
        <v>25.945</v>
      </c>
      <c r="H112" s="2">
        <v>5018597</v>
      </c>
      <c r="I112" s="2">
        <v>25.945</v>
      </c>
      <c r="J112" s="2">
        <f t="shared" si="6"/>
        <v>-1.2559467174119822E-2</v>
      </c>
      <c r="K112" s="2">
        <f t="shared" si="7"/>
        <v>2.4654626719769882E-3</v>
      </c>
      <c r="L112" s="2">
        <f t="shared" si="8"/>
        <v>-1.502492984609681E-2</v>
      </c>
      <c r="M112" s="2">
        <f t="shared" si="9"/>
        <v>1.6800649290090778E-3</v>
      </c>
      <c r="N112" s="2">
        <f t="shared" si="10"/>
        <v>-0.11181848742179162</v>
      </c>
      <c r="O112" s="2">
        <f t="shared" si="11"/>
        <v>-0.40853456796674759</v>
      </c>
    </row>
    <row r="113" spans="1:15">
      <c r="A113" s="1" t="s">
        <v>0</v>
      </c>
      <c r="B113" s="16">
        <v>43202</v>
      </c>
      <c r="D113" s="2">
        <v>25.795000000000002</v>
      </c>
      <c r="E113" s="2">
        <v>26.33</v>
      </c>
      <c r="F113" s="2">
        <v>25.72</v>
      </c>
      <c r="G113" s="2">
        <v>26.234999999999999</v>
      </c>
      <c r="H113" s="2">
        <v>4548442</v>
      </c>
      <c r="I113" s="2">
        <v>26.234999999999999</v>
      </c>
      <c r="J113" s="2">
        <f t="shared" si="6"/>
        <v>1.1177490846020394E-2</v>
      </c>
      <c r="K113" s="2">
        <f t="shared" si="7"/>
        <v>-1.0466545485319602E-3</v>
      </c>
      <c r="L113" s="2">
        <f t="shared" si="8"/>
        <v>1.2224145394552355E-2</v>
      </c>
      <c r="M113" s="2">
        <f t="shared" si="9"/>
        <v>1.6800649289635556E-3</v>
      </c>
      <c r="N113" s="2">
        <f t="shared" si="10"/>
        <v>0.13743823185482318</v>
      </c>
      <c r="O113" s="2">
        <f t="shared" si="11"/>
        <v>-0.41235927062283889</v>
      </c>
    </row>
    <row r="114" spans="1:15">
      <c r="A114" s="1" t="s">
        <v>0</v>
      </c>
      <c r="B114" s="16">
        <v>43203</v>
      </c>
      <c r="D114" s="2">
        <v>26.6</v>
      </c>
      <c r="E114" s="2">
        <v>26.885000000000002</v>
      </c>
      <c r="F114" s="2">
        <v>26.375</v>
      </c>
      <c r="G114" s="2">
        <v>26.53</v>
      </c>
      <c r="H114" s="2">
        <v>4450615</v>
      </c>
      <c r="I114" s="2">
        <v>26.53</v>
      </c>
      <c r="J114" s="2">
        <f t="shared" si="6"/>
        <v>1.1244520678483009E-2</v>
      </c>
      <c r="K114" s="2">
        <f t="shared" si="7"/>
        <v>9.3148630216324975E-4</v>
      </c>
      <c r="L114" s="2">
        <f t="shared" si="8"/>
        <v>1.0313034376319759E-2</v>
      </c>
      <c r="M114" s="2">
        <f t="shared" si="9"/>
        <v>1.6800649289378648E-3</v>
      </c>
      <c r="N114" s="2">
        <f t="shared" si="10"/>
        <v>0.1629069454859513</v>
      </c>
      <c r="O114" s="2">
        <f t="shared" si="11"/>
        <v>-0.50947887379910295</v>
      </c>
    </row>
    <row r="115" spans="1:15">
      <c r="A115" s="1" t="s">
        <v>0</v>
      </c>
      <c r="B115" s="16">
        <v>43206</v>
      </c>
      <c r="D115" s="2">
        <v>26.585000000000001</v>
      </c>
      <c r="E115" s="2">
        <v>26.74</v>
      </c>
      <c r="F115" s="2">
        <v>26.385000000000002</v>
      </c>
      <c r="G115" s="2">
        <v>26.46</v>
      </c>
      <c r="H115" s="2">
        <v>2909112</v>
      </c>
      <c r="I115" s="2">
        <v>26.46</v>
      </c>
      <c r="J115" s="2">
        <f t="shared" si="6"/>
        <v>-2.638522427440644E-3</v>
      </c>
      <c r="K115" s="2">
        <f t="shared" si="7"/>
        <v>9.3707229383484692E-4</v>
      </c>
      <c r="L115" s="2">
        <f t="shared" si="8"/>
        <v>-3.5755947212754908E-3</v>
      </c>
      <c r="M115" s="2">
        <f t="shared" si="9"/>
        <v>1.6800649288820505E-3</v>
      </c>
      <c r="N115" s="2">
        <f t="shared" si="10"/>
        <v>-0.46987006633758971</v>
      </c>
      <c r="O115" s="2">
        <f t="shared" si="11"/>
        <v>-0.40240663207773464</v>
      </c>
    </row>
    <row r="116" spans="1:15">
      <c r="A116" s="1" t="s">
        <v>0</v>
      </c>
      <c r="B116" s="16">
        <v>43207</v>
      </c>
      <c r="D116" s="2">
        <v>26.7</v>
      </c>
      <c r="E116" s="2">
        <v>27.06</v>
      </c>
      <c r="F116" s="2">
        <v>26.594999999999999</v>
      </c>
      <c r="G116" s="2">
        <v>27</v>
      </c>
      <c r="H116" s="2">
        <v>3635682</v>
      </c>
      <c r="I116" s="2">
        <v>27</v>
      </c>
      <c r="J116" s="2">
        <f t="shared" si="6"/>
        <v>2.040816326530609E-2</v>
      </c>
      <c r="K116" s="2">
        <f t="shared" si="7"/>
        <v>-2.1988365125671629E-4</v>
      </c>
      <c r="L116" s="2">
        <f t="shared" si="8"/>
        <v>2.0628046916562805E-2</v>
      </c>
      <c r="M116" s="2">
        <f t="shared" si="9"/>
        <v>1.6800649291282342E-3</v>
      </c>
      <c r="N116" s="2">
        <f t="shared" si="10"/>
        <v>8.1445661623896423E-2</v>
      </c>
      <c r="O116" s="2">
        <f t="shared" si="11"/>
        <v>-0.39986913422675219</v>
      </c>
    </row>
    <row r="117" spans="1:15">
      <c r="A117" s="1" t="s">
        <v>0</v>
      </c>
      <c r="B117" s="16">
        <v>43208</v>
      </c>
      <c r="D117" s="2">
        <v>27.2</v>
      </c>
      <c r="E117" s="2">
        <v>28.274999999999999</v>
      </c>
      <c r="F117" s="2">
        <v>27.2</v>
      </c>
      <c r="G117" s="2">
        <v>28.195</v>
      </c>
      <c r="H117" s="2">
        <v>6323142</v>
      </c>
      <c r="I117" s="2">
        <v>28.195</v>
      </c>
      <c r="J117" s="2">
        <f t="shared" si="6"/>
        <v>4.4259259259259269E-2</v>
      </c>
      <c r="K117" s="2">
        <f t="shared" si="7"/>
        <v>1.7007327311488775E-3</v>
      </c>
      <c r="L117" s="2">
        <f t="shared" si="8"/>
        <v>4.2558526528110388E-2</v>
      </c>
      <c r="M117" s="2">
        <f t="shared" si="9"/>
        <v>1.6800649299547755E-3</v>
      </c>
      <c r="N117" s="2">
        <f t="shared" si="10"/>
        <v>3.9476576540897715E-2</v>
      </c>
      <c r="O117" s="2">
        <f t="shared" si="11"/>
        <v>-0.52607885551797384</v>
      </c>
    </row>
    <row r="118" spans="1:15">
      <c r="A118" s="1" t="s">
        <v>0</v>
      </c>
      <c r="B118" s="16">
        <v>43209</v>
      </c>
      <c r="D118" s="2">
        <v>28.3</v>
      </c>
      <c r="E118" s="2">
        <v>28.62</v>
      </c>
      <c r="F118" s="2">
        <v>27.81</v>
      </c>
      <c r="G118" s="2">
        <v>28.204999999999998</v>
      </c>
      <c r="H118" s="2">
        <v>5502049</v>
      </c>
      <c r="I118" s="2">
        <v>28.204999999999998</v>
      </c>
      <c r="J118" s="2">
        <f t="shared" si="6"/>
        <v>3.5467281432871112E-4</v>
      </c>
      <c r="K118" s="2">
        <f t="shared" si="7"/>
        <v>3.6883853730526927E-3</v>
      </c>
      <c r="L118" s="2">
        <f t="shared" si="8"/>
        <v>-3.3337125587239815E-3</v>
      </c>
      <c r="M118" s="2">
        <f t="shared" si="9"/>
        <v>1.6800649288810537E-3</v>
      </c>
      <c r="N118" s="2">
        <f t="shared" si="10"/>
        <v>-0.50396214409202655</v>
      </c>
      <c r="O118" s="2">
        <f t="shared" si="11"/>
        <v>-0.42046820954498793</v>
      </c>
    </row>
    <row r="119" spans="1:15">
      <c r="A119" s="1" t="s">
        <v>0</v>
      </c>
      <c r="B119" s="16">
        <v>43210</v>
      </c>
      <c r="D119" s="2">
        <v>28.234999999999999</v>
      </c>
      <c r="E119" s="2">
        <v>28.78</v>
      </c>
      <c r="F119" s="2">
        <v>28.074999999999999</v>
      </c>
      <c r="G119" s="2">
        <v>28.434999999999999</v>
      </c>
      <c r="H119" s="2">
        <v>5226069</v>
      </c>
      <c r="I119" s="2">
        <v>28.434999999999999</v>
      </c>
      <c r="J119" s="2">
        <f t="shared" si="6"/>
        <v>8.1545825208296559E-3</v>
      </c>
      <c r="K119" s="2">
        <f t="shared" si="7"/>
        <v>2.95569795446989E-5</v>
      </c>
      <c r="L119" s="2">
        <f t="shared" si="8"/>
        <v>8.1250255412849571E-3</v>
      </c>
      <c r="M119" s="2">
        <f t="shared" si="9"/>
        <v>1.6800649289138016E-3</v>
      </c>
      <c r="N119" s="2">
        <f t="shared" si="10"/>
        <v>0.2067765720091635</v>
      </c>
      <c r="O119" s="2">
        <f t="shared" si="11"/>
        <v>-5.0424637674652191</v>
      </c>
    </row>
    <row r="120" spans="1:15">
      <c r="A120" s="1" t="s">
        <v>0</v>
      </c>
      <c r="B120" s="16">
        <v>43213</v>
      </c>
      <c r="D120" s="2">
        <v>28.765000000000001</v>
      </c>
      <c r="E120" s="2">
        <v>28.8</v>
      </c>
      <c r="F120" s="2">
        <v>28.1</v>
      </c>
      <c r="G120" s="2">
        <v>28.47</v>
      </c>
      <c r="H120" s="2">
        <v>4640273</v>
      </c>
      <c r="I120" s="2">
        <v>28.47</v>
      </c>
      <c r="J120" s="2">
        <f t="shared" si="6"/>
        <v>1.2308774397749302E-3</v>
      </c>
      <c r="K120" s="2">
        <f t="shared" si="7"/>
        <v>6.7956950469944758E-4</v>
      </c>
      <c r="L120" s="2">
        <f t="shared" si="8"/>
        <v>5.5130793507548266E-4</v>
      </c>
      <c r="M120" s="2">
        <f t="shared" si="9"/>
        <v>1.6800649288746059E-3</v>
      </c>
      <c r="N120" s="2">
        <f t="shared" si="10"/>
        <v>3.047416556129523</v>
      </c>
      <c r="O120" s="2">
        <f t="shared" si="11"/>
        <v>-0.41782792857092677</v>
      </c>
    </row>
    <row r="121" spans="1:15">
      <c r="A121" s="1" t="s">
        <v>0</v>
      </c>
      <c r="B121" s="16">
        <v>43214</v>
      </c>
      <c r="D121" s="2">
        <v>28.344999999999999</v>
      </c>
      <c r="E121" s="2">
        <v>28.89</v>
      </c>
      <c r="F121" s="2">
        <v>28.24</v>
      </c>
      <c r="G121" s="2">
        <v>28.72</v>
      </c>
      <c r="H121" s="2">
        <v>3949785</v>
      </c>
      <c r="I121" s="2">
        <v>28.72</v>
      </c>
      <c r="J121" s="2">
        <f t="shared" si="6"/>
        <v>8.7811731647348089E-3</v>
      </c>
      <c r="K121" s="2">
        <f t="shared" si="7"/>
        <v>1.0257628394303997E-4</v>
      </c>
      <c r="L121" s="2">
        <f t="shared" si="8"/>
        <v>8.6785968807917696E-3</v>
      </c>
      <c r="M121" s="2">
        <f t="shared" si="9"/>
        <v>1.6800649289193499E-3</v>
      </c>
      <c r="N121" s="2">
        <f t="shared" si="10"/>
        <v>0.19358716068928339</v>
      </c>
      <c r="O121" s="2">
        <f t="shared" si="11"/>
        <v>-0.40044747582403384</v>
      </c>
    </row>
    <row r="122" spans="1:15">
      <c r="A122" s="1" t="s">
        <v>0</v>
      </c>
      <c r="B122" s="16">
        <v>43215</v>
      </c>
      <c r="D122" s="2">
        <v>28.28</v>
      </c>
      <c r="E122" s="2">
        <v>28.375</v>
      </c>
      <c r="F122" s="2">
        <v>27.57</v>
      </c>
      <c r="G122" s="2">
        <v>27.815000000000001</v>
      </c>
      <c r="H122" s="2">
        <v>5436911</v>
      </c>
      <c r="I122" s="2">
        <v>27.815000000000001</v>
      </c>
      <c r="J122" s="2">
        <f t="shared" si="6"/>
        <v>-3.1511142061281257E-2</v>
      </c>
      <c r="K122" s="2">
        <f t="shared" si="7"/>
        <v>7.3178700233838374E-4</v>
      </c>
      <c r="L122" s="2">
        <f t="shared" si="8"/>
        <v>-3.2242929063619641E-2</v>
      </c>
      <c r="M122" s="2">
        <f t="shared" si="9"/>
        <v>1.680064929494523E-3</v>
      </c>
      <c r="N122" s="2">
        <f t="shared" si="10"/>
        <v>-5.2106461115227112E-2</v>
      </c>
      <c r="O122" s="2">
        <f t="shared" si="11"/>
        <v>-0.57836439576700172</v>
      </c>
    </row>
    <row r="123" spans="1:15">
      <c r="A123" s="1" t="s">
        <v>0</v>
      </c>
      <c r="B123" s="16">
        <v>43216</v>
      </c>
      <c r="D123" s="2">
        <v>27.77</v>
      </c>
      <c r="E123" s="2">
        <v>28.045000000000002</v>
      </c>
      <c r="F123" s="2">
        <v>27.414999999999999</v>
      </c>
      <c r="G123" s="2">
        <v>27.82</v>
      </c>
      <c r="H123" s="2">
        <v>4191305</v>
      </c>
      <c r="I123" s="2">
        <v>27.82</v>
      </c>
      <c r="J123" s="2">
        <f t="shared" si="6"/>
        <v>1.797591227754451E-4</v>
      </c>
      <c r="K123" s="2">
        <f t="shared" si="7"/>
        <v>-2.626009504275658E-3</v>
      </c>
      <c r="L123" s="2">
        <f t="shared" si="8"/>
        <v>2.805768627051103E-3</v>
      </c>
      <c r="M123" s="2">
        <f t="shared" si="9"/>
        <v>1.6800649288791203E-3</v>
      </c>
      <c r="N123" s="2">
        <f t="shared" si="10"/>
        <v>0.59878954831884657</v>
      </c>
      <c r="O123" s="2">
        <f t="shared" si="11"/>
        <v>-4.9947773210121316</v>
      </c>
    </row>
    <row r="124" spans="1:15">
      <c r="A124" s="1" t="s">
        <v>0</v>
      </c>
      <c r="B124" s="16">
        <v>43217</v>
      </c>
      <c r="D124" s="2">
        <v>28.01</v>
      </c>
      <c r="E124" s="2">
        <v>28.11</v>
      </c>
      <c r="F124" s="2">
        <v>27.535</v>
      </c>
      <c r="G124" s="2">
        <v>27.805</v>
      </c>
      <c r="H124" s="2">
        <v>3321342</v>
      </c>
      <c r="I124" s="2">
        <v>27.805</v>
      </c>
      <c r="J124" s="2">
        <f t="shared" si="6"/>
        <v>-5.3918044572252226E-4</v>
      </c>
      <c r="K124" s="2">
        <f t="shared" si="7"/>
        <v>1.4980388967513672E-5</v>
      </c>
      <c r="L124" s="2">
        <f t="shared" si="8"/>
        <v>-5.5416083469003589E-4</v>
      </c>
      <c r="M124" s="2">
        <f t="shared" si="9"/>
        <v>1.6800649288746079E-3</v>
      </c>
      <c r="N124" s="2">
        <f t="shared" si="10"/>
        <v>-3.0317280177592032</v>
      </c>
      <c r="O124" s="2">
        <f t="shared" si="11"/>
        <v>-0.41195280660538974</v>
      </c>
    </row>
    <row r="125" spans="1:15">
      <c r="A125" s="1" t="s">
        <v>0</v>
      </c>
      <c r="B125" s="16">
        <v>43220</v>
      </c>
      <c r="D125" s="2">
        <v>27.954999999999998</v>
      </c>
      <c r="E125" s="2">
        <v>28.335000000000001</v>
      </c>
      <c r="F125" s="2">
        <v>27.844999999999999</v>
      </c>
      <c r="G125" s="2">
        <v>28.094999999999999</v>
      </c>
      <c r="H125" s="2">
        <v>3859421</v>
      </c>
      <c r="I125" s="2">
        <v>28.094999999999999</v>
      </c>
      <c r="J125" s="2">
        <f t="shared" si="6"/>
        <v>1.0429778816759544E-2</v>
      </c>
      <c r="K125" s="2">
        <f t="shared" si="7"/>
        <v>-4.4933089769751059E-5</v>
      </c>
      <c r="L125" s="2">
        <f t="shared" si="8"/>
        <v>1.0474711906529295E-2</v>
      </c>
      <c r="M125" s="2">
        <f t="shared" si="9"/>
        <v>1.6800649289398695E-3</v>
      </c>
      <c r="N125" s="2">
        <f t="shared" si="10"/>
        <v>0.16039247130917458</v>
      </c>
      <c r="O125" s="2">
        <f t="shared" si="11"/>
        <v>-0.40470077313413333</v>
      </c>
    </row>
    <row r="126" spans="1:15">
      <c r="A126" s="1" t="s">
        <v>0</v>
      </c>
      <c r="B126" s="16">
        <v>43222</v>
      </c>
      <c r="D126" s="2">
        <v>28.05</v>
      </c>
      <c r="E126" s="2">
        <v>28.78</v>
      </c>
      <c r="F126" s="2">
        <v>28.035</v>
      </c>
      <c r="G126" s="2">
        <v>28.565000000000001</v>
      </c>
      <c r="H126" s="2">
        <v>5259927</v>
      </c>
      <c r="I126" s="2">
        <v>28.565000000000001</v>
      </c>
      <c r="J126" s="2">
        <f t="shared" si="6"/>
        <v>1.6728955330130003E-2</v>
      </c>
      <c r="K126" s="2">
        <f t="shared" si="7"/>
        <v>8.6917504440300365E-4</v>
      </c>
      <c r="L126" s="2">
        <f t="shared" si="8"/>
        <v>1.5859780285727001E-2</v>
      </c>
      <c r="M126" s="2">
        <f t="shared" si="9"/>
        <v>1.6800649290244574E-3</v>
      </c>
      <c r="N126" s="2">
        <f t="shared" si="10"/>
        <v>0.10593242143060649</v>
      </c>
      <c r="O126" s="2">
        <f t="shared" si="11"/>
        <v>-0.40707222996896908</v>
      </c>
    </row>
    <row r="127" spans="1:15">
      <c r="A127" s="1" t="s">
        <v>0</v>
      </c>
      <c r="B127" s="16">
        <v>43223</v>
      </c>
      <c r="D127" s="2">
        <v>28.31</v>
      </c>
      <c r="E127" s="2">
        <v>28.524999999999999</v>
      </c>
      <c r="F127" s="2">
        <v>28.105</v>
      </c>
      <c r="G127" s="2">
        <v>28.225000000000001</v>
      </c>
      <c r="H127" s="2">
        <v>3865313</v>
      </c>
      <c r="I127" s="2">
        <v>28.225000000000001</v>
      </c>
      <c r="J127" s="2">
        <f t="shared" si="6"/>
        <v>-1.1902678102573073E-2</v>
      </c>
      <c r="K127" s="2">
        <f t="shared" si="7"/>
        <v>1.3941226125061012E-3</v>
      </c>
      <c r="L127" s="2">
        <f t="shared" si="8"/>
        <v>-1.3296800715079174E-2</v>
      </c>
      <c r="M127" s="2">
        <f t="shared" si="9"/>
        <v>1.6800649289798843E-3</v>
      </c>
      <c r="N127" s="2">
        <f t="shared" si="10"/>
        <v>-0.12635106481475764</v>
      </c>
      <c r="O127" s="2">
        <f t="shared" si="11"/>
        <v>-0.4007498787332206</v>
      </c>
    </row>
    <row r="128" spans="1:15">
      <c r="A128" s="1" t="s">
        <v>0</v>
      </c>
      <c r="B128" s="16">
        <v>43224</v>
      </c>
      <c r="D128" s="2">
        <v>28.38</v>
      </c>
      <c r="E128" s="2">
        <v>29.02</v>
      </c>
      <c r="F128" s="2">
        <v>28.204999999999998</v>
      </c>
      <c r="G128" s="2">
        <v>29.02</v>
      </c>
      <c r="H128" s="2">
        <v>4559098</v>
      </c>
      <c r="I128" s="2">
        <v>29.02</v>
      </c>
      <c r="J128" s="2">
        <f t="shared" si="6"/>
        <v>2.8166519043401173E-2</v>
      </c>
      <c r="K128" s="2">
        <f t="shared" si="7"/>
        <v>-9.919204376313787E-4</v>
      </c>
      <c r="L128" s="2">
        <f t="shared" si="8"/>
        <v>2.9158439481032552E-2</v>
      </c>
      <c r="M128" s="2">
        <f t="shared" si="9"/>
        <v>1.6800649293815556E-3</v>
      </c>
      <c r="N128" s="2">
        <f t="shared" si="10"/>
        <v>5.761847887896851E-2</v>
      </c>
      <c r="O128" s="2">
        <f t="shared" si="11"/>
        <v>-0.41642023478186058</v>
      </c>
    </row>
    <row r="129" spans="1:15">
      <c r="A129" s="1" t="s">
        <v>0</v>
      </c>
      <c r="B129" s="16">
        <v>43227</v>
      </c>
      <c r="D129" s="2">
        <v>29.135000000000002</v>
      </c>
      <c r="E129" s="2">
        <v>29.35</v>
      </c>
      <c r="F129" s="2">
        <v>29.08</v>
      </c>
      <c r="G129" s="2">
        <v>29.35</v>
      </c>
      <c r="H129" s="2">
        <v>2535403</v>
      </c>
      <c r="I129" s="2">
        <v>29.35</v>
      </c>
      <c r="J129" s="2">
        <f t="shared" si="6"/>
        <v>1.1371467953135832E-2</v>
      </c>
      <c r="K129" s="2">
        <f t="shared" si="7"/>
        <v>2.3472823221223904E-3</v>
      </c>
      <c r="L129" s="2">
        <f t="shared" si="8"/>
        <v>9.0241856310134417E-3</v>
      </c>
      <c r="M129" s="2">
        <f t="shared" si="9"/>
        <v>1.6800649289229991E-3</v>
      </c>
      <c r="N129" s="2">
        <f t="shared" si="10"/>
        <v>0.18617357816190258</v>
      </c>
      <c r="O129" s="2">
        <f t="shared" si="11"/>
        <v>-0.41738048528640331</v>
      </c>
    </row>
    <row r="130" spans="1:15">
      <c r="A130" s="1" t="s">
        <v>0</v>
      </c>
      <c r="B130" s="16">
        <v>43228</v>
      </c>
      <c r="D130" s="2">
        <v>29.3</v>
      </c>
      <c r="E130" s="2">
        <v>29.495000000000001</v>
      </c>
      <c r="F130" s="2">
        <v>29.03</v>
      </c>
      <c r="G130" s="2">
        <v>29.12</v>
      </c>
      <c r="H130" s="2">
        <v>3380973</v>
      </c>
      <c r="I130" s="2">
        <v>29.12</v>
      </c>
      <c r="J130" s="2">
        <f t="shared" si="6"/>
        <v>-7.8364565587734376E-3</v>
      </c>
      <c r="K130" s="2">
        <f t="shared" si="7"/>
        <v>9.4765155970632489E-4</v>
      </c>
      <c r="L130" s="2">
        <f t="shared" si="8"/>
        <v>-8.784108118479763E-3</v>
      </c>
      <c r="M130" s="2">
        <f t="shared" si="9"/>
        <v>1.6800649289204488E-3</v>
      </c>
      <c r="N130" s="2">
        <f t="shared" si="10"/>
        <v>-0.1912618681668973</v>
      </c>
      <c r="O130" s="2">
        <f t="shared" si="11"/>
        <v>-0.41162249960866049</v>
      </c>
    </row>
    <row r="131" spans="1:15">
      <c r="A131" s="1" t="s">
        <v>0</v>
      </c>
      <c r="B131" s="16">
        <v>43229</v>
      </c>
      <c r="D131" s="2">
        <v>29.094999999999999</v>
      </c>
      <c r="E131" s="2">
        <v>29.445</v>
      </c>
      <c r="F131" s="2">
        <v>29.024999999999999</v>
      </c>
      <c r="G131" s="2">
        <v>29.41</v>
      </c>
      <c r="H131" s="2">
        <v>5014123</v>
      </c>
      <c r="I131" s="2">
        <v>29.41</v>
      </c>
      <c r="J131" s="2">
        <f t="shared" si="6"/>
        <v>9.9587912087911786E-3</v>
      </c>
      <c r="K131" s="2">
        <f t="shared" si="7"/>
        <v>-6.5305819012088288E-4</v>
      </c>
      <c r="L131" s="2">
        <f t="shared" si="8"/>
        <v>1.0611849398912061E-2</v>
      </c>
      <c r="M131" s="2">
        <f t="shared" si="9"/>
        <v>1.6800649289415944E-3</v>
      </c>
      <c r="N131" s="2">
        <f t="shared" si="10"/>
        <v>0.15831971089919883</v>
      </c>
      <c r="O131" s="2">
        <f t="shared" si="11"/>
        <v>-0.47648064885943386</v>
      </c>
    </row>
    <row r="132" spans="1:15">
      <c r="A132" s="1" t="s">
        <v>0</v>
      </c>
      <c r="B132" s="16">
        <v>43230</v>
      </c>
      <c r="D132" s="2">
        <v>29.45</v>
      </c>
      <c r="E132" s="2">
        <v>29.824999999999999</v>
      </c>
      <c r="F132" s="2">
        <v>29.285</v>
      </c>
      <c r="G132" s="2">
        <v>29.56</v>
      </c>
      <c r="H132" s="2">
        <v>3804699</v>
      </c>
      <c r="I132" s="2">
        <v>29.56</v>
      </c>
      <c r="J132" s="2">
        <f t="shared" ref="J132:J195" si="12">(I132-I131)/I131</f>
        <v>5.1003060183610529E-3</v>
      </c>
      <c r="K132" s="2">
        <f t="shared" ref="K132:K195" si="13">J132*S$13+J131*S$14</f>
        <v>8.2992486640197512E-4</v>
      </c>
      <c r="L132" s="2">
        <f t="shared" si="8"/>
        <v>4.2703811519590774E-3</v>
      </c>
      <c r="M132" s="2">
        <f t="shared" si="9"/>
        <v>1.680064928885302E-3</v>
      </c>
      <c r="N132" s="2">
        <f t="shared" si="10"/>
        <v>0.39342271078415481</v>
      </c>
      <c r="O132" s="2">
        <f t="shared" si="11"/>
        <v>-0.4019869799141082</v>
      </c>
    </row>
    <row r="133" spans="1:15">
      <c r="A133" s="1" t="s">
        <v>0</v>
      </c>
      <c r="B133" s="16">
        <v>43231</v>
      </c>
      <c r="D133" s="2">
        <v>30.3</v>
      </c>
      <c r="E133" s="2">
        <v>30.76</v>
      </c>
      <c r="F133" s="2">
        <v>29.9</v>
      </c>
      <c r="G133" s="2">
        <v>30.225000000000001</v>
      </c>
      <c r="H133" s="2">
        <v>8715013</v>
      </c>
      <c r="I133" s="2">
        <v>30.225000000000001</v>
      </c>
      <c r="J133" s="2">
        <f t="shared" si="12"/>
        <v>2.2496617050067752E-2</v>
      </c>
      <c r="K133" s="2">
        <f t="shared" si="13"/>
        <v>4.2503861183081098E-4</v>
      </c>
      <c r="L133" s="2">
        <f t="shared" si="8"/>
        <v>2.2071578438236941E-2</v>
      </c>
      <c r="M133" s="2">
        <f t="shared" si="9"/>
        <v>1.6800649291649997E-3</v>
      </c>
      <c r="N133" s="2">
        <f t="shared" si="10"/>
        <v>7.6118929775065139E-2</v>
      </c>
      <c r="O133" s="2">
        <f t="shared" si="11"/>
        <v>-0.43358319469088324</v>
      </c>
    </row>
    <row r="134" spans="1:15">
      <c r="A134" s="1" t="s">
        <v>0</v>
      </c>
      <c r="B134" s="16">
        <v>43234</v>
      </c>
      <c r="D134" s="2">
        <v>30.15</v>
      </c>
      <c r="E134" s="2">
        <v>30.484999999999999</v>
      </c>
      <c r="F134" s="2">
        <v>29.88</v>
      </c>
      <c r="G134" s="2">
        <v>30.475000000000001</v>
      </c>
      <c r="H134" s="2">
        <v>3611946</v>
      </c>
      <c r="I134" s="2">
        <v>30.475000000000001</v>
      </c>
      <c r="J134" s="2">
        <f t="shared" si="12"/>
        <v>8.271298593879239E-3</v>
      </c>
      <c r="K134" s="2">
        <f t="shared" si="13"/>
        <v>1.8747759149014376E-3</v>
      </c>
      <c r="L134" s="2">
        <f t="shared" ref="L134:L197" si="14">J134-K134</f>
        <v>6.396522678977801E-3</v>
      </c>
      <c r="M134" s="2">
        <f t="shared" ref="M134:M197" si="15">SQRT(S$9+S$10*L134^2+S$11*M133^2)</f>
        <v>1.6800649288988298E-3</v>
      </c>
      <c r="N134" s="2">
        <f t="shared" ref="N134:N197" si="16">M134/L134</f>
        <v>0.2626528526851582</v>
      </c>
      <c r="O134" s="2">
        <f t="shared" ref="O134:O197" si="17">-0.5*(N135^2)-LOG(2*PI())/2</f>
        <v>-0.41180979775491683</v>
      </c>
    </row>
    <row r="135" spans="1:15">
      <c r="A135" s="1" t="s">
        <v>0</v>
      </c>
      <c r="B135" s="16">
        <v>43235</v>
      </c>
      <c r="D135" s="2">
        <v>30.5</v>
      </c>
      <c r="E135" s="2">
        <v>30.55</v>
      </c>
      <c r="F135" s="2">
        <v>30.004999999999999</v>
      </c>
      <c r="G135" s="2">
        <v>30.175000000000001</v>
      </c>
      <c r="H135" s="2">
        <v>4611820</v>
      </c>
      <c r="I135" s="2">
        <v>30.175000000000001</v>
      </c>
      <c r="J135" s="2">
        <f t="shared" si="12"/>
        <v>-9.8441345365053549E-3</v>
      </c>
      <c r="K135" s="2">
        <f t="shared" si="13"/>
        <v>6.892961441380904E-4</v>
      </c>
      <c r="L135" s="2">
        <f t="shared" si="14"/>
        <v>-1.0533430680643446E-2</v>
      </c>
      <c r="M135" s="2">
        <f t="shared" si="15"/>
        <v>1.6800649289406054E-3</v>
      </c>
      <c r="N135" s="2">
        <f t="shared" si="16"/>
        <v>-0.15949836096875294</v>
      </c>
      <c r="O135" s="2">
        <f t="shared" si="17"/>
        <v>-0.41022225847546845</v>
      </c>
    </row>
    <row r="136" spans="1:15">
      <c r="A136" s="1" t="s">
        <v>0</v>
      </c>
      <c r="B136" s="16">
        <v>43236</v>
      </c>
      <c r="D136" s="2">
        <v>30.27</v>
      </c>
      <c r="E136" s="2">
        <v>30.67</v>
      </c>
      <c r="F136" s="2">
        <v>30.25</v>
      </c>
      <c r="G136" s="2">
        <v>30.49</v>
      </c>
      <c r="H136" s="2">
        <v>4639508</v>
      </c>
      <c r="I136" s="2">
        <v>30.49</v>
      </c>
      <c r="J136" s="2">
        <f t="shared" si="12"/>
        <v>1.0439105219552535E-2</v>
      </c>
      <c r="K136" s="2">
        <f t="shared" si="13"/>
        <v>-8.203698489873207E-4</v>
      </c>
      <c r="L136" s="2">
        <f t="shared" si="14"/>
        <v>1.1259475068539856E-2</v>
      </c>
      <c r="M136" s="2">
        <f t="shared" si="15"/>
        <v>1.6800649289500432E-3</v>
      </c>
      <c r="N136" s="2">
        <f t="shared" si="16"/>
        <v>0.14921343301734549</v>
      </c>
      <c r="O136" s="2">
        <f t="shared" si="17"/>
        <v>-0.52162624788922896</v>
      </c>
    </row>
    <row r="137" spans="1:15">
      <c r="A137" s="1" t="s">
        <v>0</v>
      </c>
      <c r="B137" s="16">
        <v>43237</v>
      </c>
      <c r="D137" s="2">
        <v>30.65</v>
      </c>
      <c r="E137" s="2">
        <v>30.765000000000001</v>
      </c>
      <c r="F137" s="2">
        <v>30.285</v>
      </c>
      <c r="G137" s="2">
        <v>30.62</v>
      </c>
      <c r="H137" s="2">
        <v>4240378</v>
      </c>
      <c r="I137" s="2">
        <v>30.62</v>
      </c>
      <c r="J137" s="2">
        <f t="shared" si="12"/>
        <v>4.2636930141030684E-3</v>
      </c>
      <c r="K137" s="2">
        <f t="shared" si="13"/>
        <v>8.6995226860920552E-4</v>
      </c>
      <c r="L137" s="2">
        <f t="shared" si="14"/>
        <v>3.3937407454938629E-3</v>
      </c>
      <c r="M137" s="2">
        <f t="shared" si="15"/>
        <v>1.6800649288812946E-3</v>
      </c>
      <c r="N137" s="2">
        <f t="shared" si="16"/>
        <v>0.49504810616781769</v>
      </c>
      <c r="O137" s="2">
        <f t="shared" si="17"/>
        <v>-0.40732380473970631</v>
      </c>
    </row>
    <row r="138" spans="1:15">
      <c r="A138" s="1" t="s">
        <v>0</v>
      </c>
      <c r="B138" s="16">
        <v>43238</v>
      </c>
      <c r="D138" s="2">
        <v>30.5</v>
      </c>
      <c r="E138" s="2">
        <v>30.67</v>
      </c>
      <c r="F138" s="2">
        <v>30.08</v>
      </c>
      <c r="G138" s="2">
        <v>30.23</v>
      </c>
      <c r="H138" s="2">
        <v>4120716</v>
      </c>
      <c r="I138" s="2">
        <v>30.23</v>
      </c>
      <c r="J138" s="2">
        <f t="shared" si="12"/>
        <v>-1.2736773350751161E-2</v>
      </c>
      <c r="K138" s="2">
        <f t="shared" si="13"/>
        <v>3.553187109681397E-4</v>
      </c>
      <c r="L138" s="2">
        <f t="shared" si="14"/>
        <v>-1.3092092061719299E-2</v>
      </c>
      <c r="M138" s="2">
        <f t="shared" si="15"/>
        <v>1.6800649289766621E-3</v>
      </c>
      <c r="N138" s="2">
        <f t="shared" si="16"/>
        <v>-0.12832669683778791</v>
      </c>
      <c r="O138" s="2">
        <f t="shared" si="17"/>
        <v>-0.40185539638494644</v>
      </c>
    </row>
    <row r="139" spans="1:15">
      <c r="A139" s="1" t="s">
        <v>0</v>
      </c>
      <c r="B139" s="16">
        <v>43241</v>
      </c>
      <c r="D139" s="2">
        <v>30.1</v>
      </c>
      <c r="E139" s="2">
        <v>30.21</v>
      </c>
      <c r="F139" s="2">
        <v>29.2</v>
      </c>
      <c r="G139" s="2">
        <v>29.515000000000001</v>
      </c>
      <c r="H139" s="2">
        <v>4679511</v>
      </c>
      <c r="I139" s="2">
        <v>29.515000000000001</v>
      </c>
      <c r="J139" s="2">
        <f t="shared" si="12"/>
        <v>-2.3652001323188881E-2</v>
      </c>
      <c r="K139" s="2">
        <f t="shared" si="13"/>
        <v>-1.0614305190155176E-3</v>
      </c>
      <c r="L139" s="2">
        <f t="shared" si="14"/>
        <v>-2.2590570804173364E-2</v>
      </c>
      <c r="M139" s="2">
        <f t="shared" si="15"/>
        <v>1.6800649291788257E-3</v>
      </c>
      <c r="N139" s="2">
        <f t="shared" si="16"/>
        <v>-7.4370184965333055E-2</v>
      </c>
      <c r="O139" s="2">
        <f t="shared" si="17"/>
        <v>-0.4019280087932306</v>
      </c>
    </row>
    <row r="140" spans="1:15">
      <c r="A140" s="1" t="s">
        <v>0</v>
      </c>
      <c r="B140" s="16">
        <v>43242</v>
      </c>
      <c r="D140" s="2">
        <v>29.45</v>
      </c>
      <c r="E140" s="2">
        <v>30.19</v>
      </c>
      <c r="F140" s="2">
        <v>29.02</v>
      </c>
      <c r="G140" s="2">
        <v>30.114999999999998</v>
      </c>
      <c r="H140" s="2">
        <v>5416675</v>
      </c>
      <c r="I140" s="2">
        <v>30.114999999999998</v>
      </c>
      <c r="J140" s="2">
        <f t="shared" si="12"/>
        <v>2.0328646450957069E-2</v>
      </c>
      <c r="K140" s="2">
        <f t="shared" si="13"/>
        <v>-1.9710609075686736E-3</v>
      </c>
      <c r="L140" s="2">
        <f t="shared" si="14"/>
        <v>2.2299707358525742E-2</v>
      </c>
      <c r="M140" s="2">
        <f t="shared" si="15"/>
        <v>1.6800649291710376E-3</v>
      </c>
      <c r="N140" s="2">
        <f t="shared" si="16"/>
        <v>7.5340223176906682E-2</v>
      </c>
      <c r="O140" s="2">
        <f t="shared" si="17"/>
        <v>-0.39968143029171349</v>
      </c>
    </row>
    <row r="141" spans="1:15">
      <c r="A141" s="1" t="s">
        <v>0</v>
      </c>
      <c r="B141" s="16">
        <v>43243</v>
      </c>
      <c r="D141" s="2">
        <v>29.64</v>
      </c>
      <c r="E141" s="2">
        <v>29.71</v>
      </c>
      <c r="F141" s="2">
        <v>28.605</v>
      </c>
      <c r="G141" s="2">
        <v>28.695</v>
      </c>
      <c r="H141" s="2">
        <v>8146021</v>
      </c>
      <c r="I141" s="2">
        <v>28.695</v>
      </c>
      <c r="J141" s="2">
        <f t="shared" si="12"/>
        <v>-4.715258176988206E-2</v>
      </c>
      <c r="K141" s="2">
        <f t="shared" si="13"/>
        <v>1.6941061255557142E-3</v>
      </c>
      <c r="L141" s="2">
        <f t="shared" si="14"/>
        <v>-4.8846687895437772E-2</v>
      </c>
      <c r="M141" s="2">
        <f t="shared" si="15"/>
        <v>1.6800649302976113E-3</v>
      </c>
      <c r="N141" s="2">
        <f t="shared" si="16"/>
        <v>-3.4394654022274609E-2</v>
      </c>
      <c r="O141" s="2">
        <f t="shared" si="17"/>
        <v>-2.7479186733808683</v>
      </c>
    </row>
    <row r="142" spans="1:15">
      <c r="A142" s="1" t="s">
        <v>0</v>
      </c>
      <c r="B142" s="16">
        <v>43244</v>
      </c>
      <c r="D142" s="2">
        <v>28.7</v>
      </c>
      <c r="E142" s="2">
        <v>29.024999999999999</v>
      </c>
      <c r="F142" s="2">
        <v>28.285</v>
      </c>
      <c r="G142" s="2">
        <v>28.56</v>
      </c>
      <c r="H142" s="2">
        <v>5037862</v>
      </c>
      <c r="I142" s="2">
        <v>28.56</v>
      </c>
      <c r="J142" s="2">
        <f t="shared" si="12"/>
        <v>-4.704652378463201E-3</v>
      </c>
      <c r="K142" s="2">
        <f t="shared" si="13"/>
        <v>-3.9295030195364081E-3</v>
      </c>
      <c r="L142" s="2">
        <f t="shared" si="14"/>
        <v>-7.7514935892679295E-4</v>
      </c>
      <c r="M142" s="2">
        <f t="shared" si="15"/>
        <v>1.6800649288747831E-3</v>
      </c>
      <c r="N142" s="2">
        <f t="shared" si="16"/>
        <v>-2.1674080092136832</v>
      </c>
      <c r="O142" s="2">
        <f t="shared" si="17"/>
        <v>-0.68187862321421489</v>
      </c>
    </row>
    <row r="143" spans="1:15">
      <c r="A143" s="1" t="s">
        <v>0</v>
      </c>
      <c r="B143" s="16">
        <v>43245</v>
      </c>
      <c r="D143" s="2">
        <v>28.704999999999998</v>
      </c>
      <c r="E143" s="2">
        <v>28.73</v>
      </c>
      <c r="F143" s="2">
        <v>28.15</v>
      </c>
      <c r="G143" s="2">
        <v>28.484999999999999</v>
      </c>
      <c r="H143" s="2">
        <v>4138585</v>
      </c>
      <c r="I143" s="2">
        <v>28.484999999999999</v>
      </c>
      <c r="J143" s="2">
        <f t="shared" si="12"/>
        <v>-2.6260504201680423E-3</v>
      </c>
      <c r="K143" s="2">
        <f t="shared" si="13"/>
        <v>-3.9206645814775996E-4</v>
      </c>
      <c r="L143" s="2">
        <f t="shared" si="14"/>
        <v>-2.2339839620202822E-3</v>
      </c>
      <c r="M143" s="2">
        <f t="shared" si="15"/>
        <v>1.6800649288774014E-3</v>
      </c>
      <c r="N143" s="2">
        <f t="shared" si="16"/>
        <v>-0.75204878702801903</v>
      </c>
      <c r="O143" s="2">
        <f t="shared" si="17"/>
        <v>-0.41110137263662333</v>
      </c>
    </row>
    <row r="144" spans="1:15">
      <c r="A144" s="1" t="s">
        <v>0</v>
      </c>
      <c r="B144" s="16">
        <v>43248</v>
      </c>
      <c r="D144" s="2">
        <v>28.524999999999999</v>
      </c>
      <c r="E144" s="2">
        <v>28.645</v>
      </c>
      <c r="F144" s="2">
        <v>28.114999999999998</v>
      </c>
      <c r="G144" s="2">
        <v>28.17</v>
      </c>
      <c r="H144" s="2">
        <v>2103153</v>
      </c>
      <c r="I144" s="2">
        <v>28.17</v>
      </c>
      <c r="J144" s="2">
        <f t="shared" si="12"/>
        <v>-1.1058451816745576E-2</v>
      </c>
      <c r="K144" s="2">
        <f t="shared" si="13"/>
        <v>-2.188442852581259E-4</v>
      </c>
      <c r="L144" s="2">
        <f t="shared" si="14"/>
        <v>-1.0839607531487451E-2</v>
      </c>
      <c r="M144" s="2">
        <f t="shared" si="15"/>
        <v>1.6800649289445085E-3</v>
      </c>
      <c r="N144" s="2">
        <f t="shared" si="16"/>
        <v>-0.15499315118782386</v>
      </c>
      <c r="O144" s="2">
        <f t="shared" si="17"/>
        <v>-0.40531843084930197</v>
      </c>
    </row>
    <row r="145" spans="1:15">
      <c r="A145" s="1" t="s">
        <v>0</v>
      </c>
      <c r="B145" s="16">
        <v>43249</v>
      </c>
      <c r="D145" s="2">
        <v>28.01</v>
      </c>
      <c r="E145" s="2">
        <v>28.135000000000002</v>
      </c>
      <c r="F145" s="2">
        <v>27.39</v>
      </c>
      <c r="G145" s="2">
        <v>27.72</v>
      </c>
      <c r="H145" s="2">
        <v>6425741</v>
      </c>
      <c r="I145" s="2">
        <v>27.72</v>
      </c>
      <c r="J145" s="2">
        <f t="shared" si="12"/>
        <v>-1.597444089456879E-2</v>
      </c>
      <c r="K145" s="2">
        <f t="shared" si="13"/>
        <v>-9.2156607706802803E-4</v>
      </c>
      <c r="L145" s="2">
        <f t="shared" si="14"/>
        <v>-1.5052874817500762E-2</v>
      </c>
      <c r="M145" s="2">
        <f t="shared" si="15"/>
        <v>1.6800649290095791E-3</v>
      </c>
      <c r="N145" s="2">
        <f t="shared" si="16"/>
        <v>-0.11161090153066996</v>
      </c>
      <c r="O145" s="2">
        <f t="shared" si="17"/>
        <v>-0.60204446371795528</v>
      </c>
    </row>
    <row r="146" spans="1:15">
      <c r="A146" s="1" t="s">
        <v>0</v>
      </c>
      <c r="B146" s="16">
        <v>43250</v>
      </c>
      <c r="D146" s="2">
        <v>27.5</v>
      </c>
      <c r="E146" s="2">
        <v>27.76</v>
      </c>
      <c r="F146" s="2">
        <v>27.315000000000001</v>
      </c>
      <c r="G146" s="2">
        <v>27.61</v>
      </c>
      <c r="H146" s="2">
        <v>5835433</v>
      </c>
      <c r="I146" s="2">
        <v>27.61</v>
      </c>
      <c r="J146" s="2">
        <f t="shared" si="12"/>
        <v>-3.9682539682539481E-3</v>
      </c>
      <c r="K146" s="2">
        <f t="shared" si="13"/>
        <v>-1.3312444700686206E-3</v>
      </c>
      <c r="L146" s="2">
        <f t="shared" si="14"/>
        <v>-2.6370094981853272E-3</v>
      </c>
      <c r="M146" s="2">
        <f t="shared" si="15"/>
        <v>1.6800649288785724E-3</v>
      </c>
      <c r="N146" s="2">
        <f t="shared" si="16"/>
        <v>-0.63710992699674329</v>
      </c>
      <c r="O146" s="2">
        <f t="shared" si="17"/>
        <v>-0.50857117727016377</v>
      </c>
    </row>
    <row r="147" spans="1:15">
      <c r="A147" s="1" t="s">
        <v>0</v>
      </c>
      <c r="B147" s="16">
        <v>43251</v>
      </c>
      <c r="D147" s="2">
        <v>27.545000000000002</v>
      </c>
      <c r="E147" s="2">
        <v>28.094999999999999</v>
      </c>
      <c r="F147" s="2">
        <v>27.47</v>
      </c>
      <c r="G147" s="2">
        <v>27.7</v>
      </c>
      <c r="H147" s="2">
        <v>8342326</v>
      </c>
      <c r="I147" s="2">
        <v>27.7</v>
      </c>
      <c r="J147" s="2">
        <f t="shared" si="12"/>
        <v>3.259688518652657E-3</v>
      </c>
      <c r="K147" s="2">
        <f t="shared" si="13"/>
        <v>-3.3069803105672505E-4</v>
      </c>
      <c r="L147" s="2">
        <f t="shared" si="14"/>
        <v>3.5903865497093823E-3</v>
      </c>
      <c r="M147" s="2">
        <f t="shared" si="15"/>
        <v>1.6800649288821138E-3</v>
      </c>
      <c r="N147" s="2">
        <f t="shared" si="16"/>
        <v>0.46793427549412575</v>
      </c>
      <c r="O147" s="2">
        <f t="shared" si="17"/>
        <v>-0.41422604303164978</v>
      </c>
    </row>
    <row r="148" spans="1:15">
      <c r="A148" s="1" t="s">
        <v>0</v>
      </c>
      <c r="B148" s="16">
        <v>43252</v>
      </c>
      <c r="D148" s="2">
        <v>27.69</v>
      </c>
      <c r="E148" s="2">
        <v>28.484999999999999</v>
      </c>
      <c r="F148" s="2">
        <v>27.68</v>
      </c>
      <c r="G148" s="2">
        <v>27.975000000000001</v>
      </c>
      <c r="H148" s="2">
        <v>5234544</v>
      </c>
      <c r="I148" s="2">
        <v>27.975000000000001</v>
      </c>
      <c r="J148" s="2">
        <f t="shared" si="12"/>
        <v>9.9277978339350949E-3</v>
      </c>
      <c r="K148" s="2">
        <f t="shared" si="13"/>
        <v>2.716490888941163E-4</v>
      </c>
      <c r="L148" s="2">
        <f t="shared" si="14"/>
        <v>9.6561487450409784E-3</v>
      </c>
      <c r="M148" s="2">
        <f t="shared" si="15"/>
        <v>1.6800649289300407E-3</v>
      </c>
      <c r="N148" s="2">
        <f t="shared" si="16"/>
        <v>0.17398913099726809</v>
      </c>
      <c r="O148" s="2">
        <f t="shared" si="17"/>
        <v>-0.41121168270064717</v>
      </c>
    </row>
    <row r="149" spans="1:15">
      <c r="A149" s="1" t="s">
        <v>0</v>
      </c>
      <c r="B149" s="16">
        <v>43255</v>
      </c>
      <c r="D149" s="2">
        <v>28.364999999999998</v>
      </c>
      <c r="E149" s="2">
        <v>28.475000000000001</v>
      </c>
      <c r="F149" s="2">
        <v>28.015000000000001</v>
      </c>
      <c r="G149" s="2">
        <v>28.3</v>
      </c>
      <c r="H149" s="2">
        <v>3854167</v>
      </c>
      <c r="I149" s="2">
        <v>28.3</v>
      </c>
      <c r="J149" s="2">
        <f t="shared" si="12"/>
        <v>1.1617515638963334E-2</v>
      </c>
      <c r="K149" s="2">
        <f t="shared" si="13"/>
        <v>8.2734200549571619E-4</v>
      </c>
      <c r="L149" s="2">
        <f t="shared" si="14"/>
        <v>1.0790173633467617E-2</v>
      </c>
      <c r="M149" s="2">
        <f t="shared" si="15"/>
        <v>1.6800649289438708E-3</v>
      </c>
      <c r="N149" s="2">
        <f t="shared" si="16"/>
        <v>0.15570323388799368</v>
      </c>
      <c r="O149" s="2">
        <f t="shared" si="17"/>
        <v>-0.4081812654648021</v>
      </c>
    </row>
    <row r="150" spans="1:15">
      <c r="A150" s="1" t="s">
        <v>0</v>
      </c>
      <c r="B150" s="16">
        <v>43256</v>
      </c>
      <c r="D150" s="2">
        <v>28.16</v>
      </c>
      <c r="E150" s="2">
        <v>28.79</v>
      </c>
      <c r="F150" s="2">
        <v>28.055</v>
      </c>
      <c r="G150" s="2">
        <v>28.68</v>
      </c>
      <c r="H150" s="2">
        <v>4307734</v>
      </c>
      <c r="I150" s="2">
        <v>28.68</v>
      </c>
      <c r="J150" s="2">
        <f t="shared" si="12"/>
        <v>1.3427561837455795E-2</v>
      </c>
      <c r="K150" s="2">
        <f t="shared" si="13"/>
        <v>9.6815616598912801E-4</v>
      </c>
      <c r="L150" s="2">
        <f t="shared" si="14"/>
        <v>1.2459405671466667E-2</v>
      </c>
      <c r="M150" s="2">
        <f t="shared" si="15"/>
        <v>1.6800649289670194E-3</v>
      </c>
      <c r="N150" s="2">
        <f t="shared" si="16"/>
        <v>0.13484310353699636</v>
      </c>
      <c r="O150" s="2">
        <f t="shared" si="17"/>
        <v>-0.40103317128728994</v>
      </c>
    </row>
    <row r="151" spans="1:15">
      <c r="A151" s="1" t="s">
        <v>0</v>
      </c>
      <c r="B151" s="16">
        <v>43257</v>
      </c>
      <c r="D151" s="2">
        <v>28.71</v>
      </c>
      <c r="E151" s="2">
        <v>29.484999999999999</v>
      </c>
      <c r="F151" s="2">
        <v>28.7</v>
      </c>
      <c r="G151" s="2">
        <v>29.484999999999999</v>
      </c>
      <c r="H151" s="2">
        <v>5195408</v>
      </c>
      <c r="I151" s="2">
        <v>29.484999999999999</v>
      </c>
      <c r="J151" s="2">
        <f t="shared" si="12"/>
        <v>2.8068340306834021E-2</v>
      </c>
      <c r="K151" s="2">
        <f t="shared" si="13"/>
        <v>1.1189980019078469E-3</v>
      </c>
      <c r="L151" s="2">
        <f t="shared" si="14"/>
        <v>2.6949342304926172E-2</v>
      </c>
      <c r="M151" s="2">
        <f t="shared" si="15"/>
        <v>1.6800649293076241E-3</v>
      </c>
      <c r="N151" s="2">
        <f t="shared" si="16"/>
        <v>6.2341592989470423E-2</v>
      </c>
      <c r="O151" s="2">
        <f t="shared" si="17"/>
        <v>-0.40098815383391867</v>
      </c>
    </row>
    <row r="152" spans="1:15">
      <c r="A152" s="1" t="s">
        <v>0</v>
      </c>
      <c r="B152" s="16">
        <v>43258</v>
      </c>
      <c r="D152" s="2">
        <v>29.64</v>
      </c>
      <c r="E152" s="2">
        <v>29.684999999999999</v>
      </c>
      <c r="F152" s="2">
        <v>28.62</v>
      </c>
      <c r="G152" s="2">
        <v>28.75</v>
      </c>
      <c r="H152" s="2">
        <v>7303876</v>
      </c>
      <c r="I152" s="2">
        <v>28.75</v>
      </c>
      <c r="J152" s="2">
        <f t="shared" si="12"/>
        <v>-2.49279294556554E-2</v>
      </c>
      <c r="K152" s="2">
        <f t="shared" si="13"/>
        <v>2.3391005083740432E-3</v>
      </c>
      <c r="L152" s="2">
        <f t="shared" si="14"/>
        <v>-2.7267029964029445E-2</v>
      </c>
      <c r="M152" s="2">
        <f t="shared" si="15"/>
        <v>1.6800649293178978E-3</v>
      </c>
      <c r="N152" s="2">
        <f t="shared" si="16"/>
        <v>-6.1615252249116702E-2</v>
      </c>
      <c r="O152" s="2">
        <f t="shared" si="17"/>
        <v>-0.40189154731173127</v>
      </c>
    </row>
    <row r="153" spans="1:15">
      <c r="A153" s="1" t="s">
        <v>0</v>
      </c>
      <c r="B153" s="16">
        <v>43259</v>
      </c>
      <c r="D153" s="2">
        <v>28.15</v>
      </c>
      <c r="E153" s="2">
        <v>28.28</v>
      </c>
      <c r="F153" s="2">
        <v>27.8</v>
      </c>
      <c r="G153" s="2">
        <v>28.045000000000002</v>
      </c>
      <c r="H153" s="2">
        <v>6681050</v>
      </c>
      <c r="I153" s="2">
        <v>28.045000000000002</v>
      </c>
      <c r="J153" s="2">
        <f t="shared" si="12"/>
        <v>-2.4521739130434723E-2</v>
      </c>
      <c r="K153" s="2">
        <f t="shared" si="13"/>
        <v>-2.0773915317051682E-3</v>
      </c>
      <c r="L153" s="2">
        <f t="shared" si="14"/>
        <v>-2.2444347598729555E-2</v>
      </c>
      <c r="M153" s="2">
        <f t="shared" si="15"/>
        <v>1.6800649291748978E-3</v>
      </c>
      <c r="N153" s="2">
        <f t="shared" si="16"/>
        <v>-7.4854701023699913E-2</v>
      </c>
      <c r="O153" s="2">
        <f t="shared" si="17"/>
        <v>-0.40205059555742284</v>
      </c>
    </row>
    <row r="154" spans="1:15">
      <c r="A154" s="1" t="s">
        <v>0</v>
      </c>
      <c r="B154" s="16">
        <v>43262</v>
      </c>
      <c r="D154" s="2">
        <v>28.05</v>
      </c>
      <c r="E154" s="2">
        <v>28.78</v>
      </c>
      <c r="F154" s="2">
        <v>27.95</v>
      </c>
      <c r="G154" s="2">
        <v>28.6</v>
      </c>
      <c r="H154" s="2">
        <v>4499267</v>
      </c>
      <c r="I154" s="2">
        <v>28.6</v>
      </c>
      <c r="J154" s="2">
        <f t="shared" si="12"/>
        <v>1.9789623818862533E-2</v>
      </c>
      <c r="K154" s="2">
        <f t="shared" si="13"/>
        <v>-2.0435412938274063E-3</v>
      </c>
      <c r="L154" s="2">
        <f t="shared" si="14"/>
        <v>2.1833165112689939E-2</v>
      </c>
      <c r="M154" s="2">
        <f t="shared" si="15"/>
        <v>1.6800649291587562E-3</v>
      </c>
      <c r="N154" s="2">
        <f t="shared" si="16"/>
        <v>7.6950131622568266E-2</v>
      </c>
      <c r="O154" s="2">
        <f t="shared" si="17"/>
        <v>-0.41093618671510052</v>
      </c>
    </row>
    <row r="155" spans="1:15">
      <c r="A155" s="1" t="s">
        <v>0</v>
      </c>
      <c r="B155" s="16">
        <v>43263</v>
      </c>
      <c r="D155" s="2">
        <v>28.765000000000001</v>
      </c>
      <c r="E155" s="2">
        <v>28.86</v>
      </c>
      <c r="F155" s="2">
        <v>28.27</v>
      </c>
      <c r="G155" s="2">
        <v>28.335000000000001</v>
      </c>
      <c r="H155" s="2">
        <v>3544289</v>
      </c>
      <c r="I155" s="2">
        <v>28.335000000000001</v>
      </c>
      <c r="J155" s="2">
        <f t="shared" si="12"/>
        <v>-9.2657342657342847E-3</v>
      </c>
      <c r="K155" s="2">
        <f t="shared" si="13"/>
        <v>1.6491861873272873E-3</v>
      </c>
      <c r="L155" s="2">
        <f t="shared" si="14"/>
        <v>-1.0914920453061572E-2</v>
      </c>
      <c r="M155" s="2">
        <f t="shared" si="15"/>
        <v>1.6800649289454861E-3</v>
      </c>
      <c r="N155" s="2">
        <f t="shared" si="16"/>
        <v>-0.15392369886435933</v>
      </c>
      <c r="O155" s="2">
        <f t="shared" si="17"/>
        <v>-0.40377322706939112</v>
      </c>
    </row>
    <row r="156" spans="1:15">
      <c r="A156" s="1" t="s">
        <v>0</v>
      </c>
      <c r="B156" s="16">
        <v>43264</v>
      </c>
      <c r="D156" s="2">
        <v>28.3</v>
      </c>
      <c r="E156" s="2">
        <v>28.945</v>
      </c>
      <c r="F156" s="2">
        <v>28.3</v>
      </c>
      <c r="G156" s="2">
        <v>28.805</v>
      </c>
      <c r="H156" s="2">
        <v>5472325</v>
      </c>
      <c r="I156" s="2">
        <v>28.805</v>
      </c>
      <c r="J156" s="2">
        <f t="shared" si="12"/>
        <v>1.6587259572966254E-2</v>
      </c>
      <c r="K156" s="2">
        <f t="shared" si="13"/>
        <v>-7.7216833964923967E-4</v>
      </c>
      <c r="L156" s="2">
        <f t="shared" si="14"/>
        <v>1.7359427912615494E-2</v>
      </c>
      <c r="M156" s="2">
        <f t="shared" si="15"/>
        <v>1.6800649290541719E-3</v>
      </c>
      <c r="N156" s="2">
        <f t="shared" si="16"/>
        <v>9.6781123059546809E-2</v>
      </c>
      <c r="O156" s="2">
        <f t="shared" si="17"/>
        <v>-0.42831166591417291</v>
      </c>
    </row>
    <row r="157" spans="1:15">
      <c r="A157" s="1" t="s">
        <v>0</v>
      </c>
      <c r="B157" s="16">
        <v>43265</v>
      </c>
      <c r="D157" s="2">
        <v>28.56</v>
      </c>
      <c r="E157" s="2">
        <v>29.14</v>
      </c>
      <c r="F157" s="2">
        <v>28.215</v>
      </c>
      <c r="G157" s="2">
        <v>29.045000000000002</v>
      </c>
      <c r="H157" s="2">
        <v>5962375</v>
      </c>
      <c r="I157" s="2">
        <v>29.045000000000002</v>
      </c>
      <c r="J157" s="2">
        <f t="shared" si="12"/>
        <v>8.3318868252040268E-3</v>
      </c>
      <c r="K157" s="2">
        <f t="shared" si="13"/>
        <v>1.382314268514509E-3</v>
      </c>
      <c r="L157" s="2">
        <f t="shared" si="14"/>
        <v>6.9495725566895176E-3</v>
      </c>
      <c r="M157" s="2">
        <f t="shared" si="15"/>
        <v>1.6800649289032323E-3</v>
      </c>
      <c r="N157" s="2">
        <f t="shared" si="16"/>
        <v>0.24175082930619032</v>
      </c>
      <c r="O157" s="2">
        <f t="shared" si="17"/>
        <v>-0.4001492272273367</v>
      </c>
    </row>
    <row r="158" spans="1:15">
      <c r="A158" s="1" t="s">
        <v>0</v>
      </c>
      <c r="B158" s="16">
        <v>43266</v>
      </c>
      <c r="D158" s="2">
        <v>29</v>
      </c>
      <c r="E158" s="2">
        <v>29.195</v>
      </c>
      <c r="F158" s="2">
        <v>27.905000000000001</v>
      </c>
      <c r="G158" s="2">
        <v>28.004999999999999</v>
      </c>
      <c r="H158" s="2">
        <v>8231617</v>
      </c>
      <c r="I158" s="2">
        <v>28.004999999999999</v>
      </c>
      <c r="J158" s="2">
        <f t="shared" si="12"/>
        <v>-3.5806507144086855E-2</v>
      </c>
      <c r="K158" s="2">
        <f t="shared" si="13"/>
        <v>6.9434531915677823E-4</v>
      </c>
      <c r="L158" s="2">
        <f t="shared" si="14"/>
        <v>-3.6500852463243631E-2</v>
      </c>
      <c r="M158" s="2">
        <f t="shared" si="15"/>
        <v>1.6800649296691145E-3</v>
      </c>
      <c r="N158" s="2">
        <f t="shared" si="16"/>
        <v>-4.6028101161772597E-2</v>
      </c>
      <c r="O158" s="2">
        <f t="shared" si="17"/>
        <v>-0.42226004056019861</v>
      </c>
    </row>
    <row r="159" spans="1:15">
      <c r="A159" s="1" t="s">
        <v>0</v>
      </c>
      <c r="B159" s="16">
        <v>43269</v>
      </c>
      <c r="D159" s="2">
        <v>27.87</v>
      </c>
      <c r="E159" s="2">
        <v>28.23</v>
      </c>
      <c r="F159" s="2">
        <v>27.56</v>
      </c>
      <c r="G159" s="2">
        <v>28.14</v>
      </c>
      <c r="H159" s="2">
        <v>4099776</v>
      </c>
      <c r="I159" s="2">
        <v>28.14</v>
      </c>
      <c r="J159" s="2">
        <f t="shared" si="12"/>
        <v>4.8205677557579566E-3</v>
      </c>
      <c r="K159" s="2">
        <f t="shared" si="13"/>
        <v>-2.9839676357151716E-3</v>
      </c>
      <c r="L159" s="2">
        <f t="shared" si="14"/>
        <v>7.8045353914731278E-3</v>
      </c>
      <c r="M159" s="2">
        <f t="shared" si="15"/>
        <v>1.6800649289107563E-3</v>
      </c>
      <c r="N159" s="2">
        <f t="shared" si="16"/>
        <v>0.21526776991059801</v>
      </c>
      <c r="O159" s="2">
        <f t="shared" si="17"/>
        <v>-0.40002831336754829</v>
      </c>
    </row>
    <row r="160" spans="1:15">
      <c r="A160" s="1" t="s">
        <v>0</v>
      </c>
      <c r="B160" s="16">
        <v>43270</v>
      </c>
      <c r="D160" s="2">
        <v>27.44</v>
      </c>
      <c r="E160" s="2">
        <v>27.49</v>
      </c>
      <c r="F160" s="2">
        <v>26.86</v>
      </c>
      <c r="G160" s="2">
        <v>27.06</v>
      </c>
      <c r="H160" s="2">
        <v>6196190</v>
      </c>
      <c r="I160" s="2">
        <v>27.06</v>
      </c>
      <c r="J160" s="2">
        <f t="shared" si="12"/>
        <v>-3.8379530916844415E-2</v>
      </c>
      <c r="K160" s="2">
        <f t="shared" si="13"/>
        <v>4.0172637088198445E-4</v>
      </c>
      <c r="L160" s="2">
        <f t="shared" si="14"/>
        <v>-3.8781257287726398E-2</v>
      </c>
      <c r="M160" s="2">
        <f t="shared" si="15"/>
        <v>1.6800649297715135E-3</v>
      </c>
      <c r="N160" s="2">
        <f t="shared" si="16"/>
        <v>-4.3321569419649146E-2</v>
      </c>
      <c r="O160" s="2">
        <f t="shared" si="17"/>
        <v>-0.42584082207251694</v>
      </c>
    </row>
    <row r="161" spans="1:15">
      <c r="A161" s="1" t="s">
        <v>0</v>
      </c>
      <c r="B161" s="16">
        <v>43271</v>
      </c>
      <c r="D161" s="2">
        <v>27.405000000000001</v>
      </c>
      <c r="E161" s="2">
        <v>27.76</v>
      </c>
      <c r="F161" s="2">
        <v>27.17</v>
      </c>
      <c r="G161" s="2">
        <v>27.17</v>
      </c>
      <c r="H161" s="2">
        <v>4703097</v>
      </c>
      <c r="I161" s="2">
        <v>27.17</v>
      </c>
      <c r="J161" s="2">
        <f t="shared" si="12"/>
        <v>4.0650406504066147E-3</v>
      </c>
      <c r="K161" s="2">
        <f t="shared" si="13"/>
        <v>-3.1983928973844666E-3</v>
      </c>
      <c r="L161" s="2">
        <f t="shared" si="14"/>
        <v>7.2634335477910813E-3</v>
      </c>
      <c r="M161" s="2">
        <f t="shared" si="15"/>
        <v>1.6800649289058932E-3</v>
      </c>
      <c r="N161" s="2">
        <f t="shared" si="16"/>
        <v>0.23130450879072556</v>
      </c>
      <c r="O161" s="2">
        <f t="shared" si="17"/>
        <v>-0.42979445283530082</v>
      </c>
    </row>
    <row r="162" spans="1:15">
      <c r="A162" s="1" t="s">
        <v>0</v>
      </c>
      <c r="B162" s="16">
        <v>43272</v>
      </c>
      <c r="D162" s="2">
        <v>27.385000000000002</v>
      </c>
      <c r="E162" s="2">
        <v>27.56</v>
      </c>
      <c r="F162" s="2">
        <v>26.885000000000002</v>
      </c>
      <c r="G162" s="2">
        <v>26.995000000000001</v>
      </c>
      <c r="H162" s="2">
        <v>4189475</v>
      </c>
      <c r="I162" s="2">
        <v>26.995000000000001</v>
      </c>
      <c r="J162" s="2">
        <f t="shared" si="12"/>
        <v>-6.440927493559098E-3</v>
      </c>
      <c r="K162" s="2">
        <f t="shared" si="13"/>
        <v>3.3876383669226583E-4</v>
      </c>
      <c r="L162" s="2">
        <f t="shared" si="14"/>
        <v>-6.7796913302513636E-3</v>
      </c>
      <c r="M162" s="2">
        <f t="shared" si="15"/>
        <v>1.6800649289018411E-3</v>
      </c>
      <c r="N162" s="2">
        <f t="shared" si="16"/>
        <v>-0.24780846900880235</v>
      </c>
      <c r="O162" s="2">
        <f t="shared" si="17"/>
        <v>-0.40623141823395326</v>
      </c>
    </row>
    <row r="163" spans="1:15">
      <c r="A163" s="1" t="s">
        <v>0</v>
      </c>
      <c r="B163" s="16">
        <v>43273</v>
      </c>
      <c r="D163" s="2">
        <v>26.995000000000001</v>
      </c>
      <c r="E163" s="2">
        <v>27.495000000000001</v>
      </c>
      <c r="F163" s="2">
        <v>26.96</v>
      </c>
      <c r="G163" s="2">
        <v>27.36</v>
      </c>
      <c r="H163" s="2">
        <v>3851009</v>
      </c>
      <c r="I163" s="2">
        <v>27.36</v>
      </c>
      <c r="J163" s="2">
        <f t="shared" si="12"/>
        <v>1.3521022411557638E-2</v>
      </c>
      <c r="K163" s="2">
        <f t="shared" si="13"/>
        <v>-5.367605141553812E-4</v>
      </c>
      <c r="L163" s="2">
        <f t="shared" si="14"/>
        <v>1.4057782925713018E-2</v>
      </c>
      <c r="M163" s="2">
        <f t="shared" si="15"/>
        <v>1.6800649289923006E-3</v>
      </c>
      <c r="N163" s="2">
        <f t="shared" si="16"/>
        <v>0.1195113723031889</v>
      </c>
      <c r="O163" s="2">
        <f t="shared" si="17"/>
        <v>-0.39962070328924831</v>
      </c>
    </row>
    <row r="164" spans="1:15">
      <c r="A164" s="1" t="s">
        <v>0</v>
      </c>
      <c r="B164" s="16">
        <v>43276</v>
      </c>
      <c r="D164" s="2">
        <v>27.18</v>
      </c>
      <c r="E164" s="2">
        <v>27.355</v>
      </c>
      <c r="F164" s="2">
        <v>25.98</v>
      </c>
      <c r="G164" s="2">
        <v>25.98</v>
      </c>
      <c r="H164" s="2">
        <v>3223720</v>
      </c>
      <c r="I164" s="2">
        <v>25.98</v>
      </c>
      <c r="J164" s="2">
        <f t="shared" si="12"/>
        <v>-5.0438596491228033E-2</v>
      </c>
      <c r="K164" s="2">
        <f t="shared" si="13"/>
        <v>1.1267866233227483E-3</v>
      </c>
      <c r="L164" s="2">
        <f t="shared" si="14"/>
        <v>-5.1565383114550778E-2</v>
      </c>
      <c r="M164" s="2">
        <f t="shared" si="15"/>
        <v>1.6800649304604428E-3</v>
      </c>
      <c r="N164" s="2">
        <f t="shared" si="16"/>
        <v>-3.2581255659988692E-2</v>
      </c>
      <c r="O164" s="2">
        <f t="shared" si="17"/>
        <v>-0.43174417538865895</v>
      </c>
    </row>
    <row r="165" spans="1:15">
      <c r="A165" s="1" t="s">
        <v>0</v>
      </c>
      <c r="B165" s="16">
        <v>43277</v>
      </c>
      <c r="D165" s="2">
        <v>26.094999999999999</v>
      </c>
      <c r="E165" s="2">
        <v>26.344999999999999</v>
      </c>
      <c r="F165" s="2">
        <v>25.59</v>
      </c>
      <c r="G165" s="2">
        <v>25.7</v>
      </c>
      <c r="H165" s="2">
        <v>4435942</v>
      </c>
      <c r="I165" s="2">
        <v>25.7</v>
      </c>
      <c r="J165" s="2">
        <f t="shared" si="12"/>
        <v>-1.0777521170130913E-2</v>
      </c>
      <c r="K165" s="2">
        <f t="shared" si="13"/>
        <v>-4.2033460263262868E-3</v>
      </c>
      <c r="L165" s="2">
        <f t="shared" si="14"/>
        <v>-6.574175143804626E-3</v>
      </c>
      <c r="M165" s="2">
        <f t="shared" si="15"/>
        <v>1.6800649289002041E-3</v>
      </c>
      <c r="N165" s="2">
        <f t="shared" si="16"/>
        <v>-0.25555524338037516</v>
      </c>
      <c r="O165" s="2">
        <f t="shared" si="17"/>
        <v>-2.1470996909228433</v>
      </c>
    </row>
    <row r="166" spans="1:15">
      <c r="A166" s="1" t="s">
        <v>0</v>
      </c>
      <c r="B166" s="16">
        <v>43278</v>
      </c>
      <c r="D166" s="2">
        <v>25.684999999999999</v>
      </c>
      <c r="E166" s="2">
        <v>26.05</v>
      </c>
      <c r="F166" s="2">
        <v>25.02</v>
      </c>
      <c r="G166" s="2">
        <v>25.7</v>
      </c>
      <c r="H166" s="2">
        <v>6801811</v>
      </c>
      <c r="I166" s="2">
        <v>25.700009999999999</v>
      </c>
      <c r="J166" s="2">
        <f t="shared" si="12"/>
        <v>3.8910505835102812E-7</v>
      </c>
      <c r="K166" s="2">
        <f t="shared" si="13"/>
        <v>-8.9815446771988948E-4</v>
      </c>
      <c r="L166" s="2">
        <f t="shared" si="14"/>
        <v>8.9854357277824055E-4</v>
      </c>
      <c r="M166" s="2">
        <f t="shared" si="15"/>
        <v>1.6800649288749062E-3</v>
      </c>
      <c r="N166" s="2">
        <f t="shared" si="16"/>
        <v>1.8697645609775502</v>
      </c>
      <c r="O166" s="2">
        <f t="shared" si="17"/>
        <v>-0.40437399413306085</v>
      </c>
    </row>
    <row r="167" spans="1:15">
      <c r="A167" s="1" t="s">
        <v>0</v>
      </c>
      <c r="B167" s="16">
        <v>43279</v>
      </c>
      <c r="D167" s="2">
        <v>25.594999999999999</v>
      </c>
      <c r="E167" s="2">
        <v>25.655000000000001</v>
      </c>
      <c r="F167" s="2">
        <v>24.81</v>
      </c>
      <c r="G167" s="2">
        <v>25.28</v>
      </c>
      <c r="H167" s="2">
        <v>5280757</v>
      </c>
      <c r="I167" s="2">
        <v>25.28</v>
      </c>
      <c r="J167" s="2">
        <f t="shared" si="12"/>
        <v>-1.6342795197355868E-2</v>
      </c>
      <c r="K167" s="2">
        <f t="shared" si="13"/>
        <v>3.2426421721066238E-8</v>
      </c>
      <c r="L167" s="2">
        <f t="shared" si="14"/>
        <v>-1.6342827623777589E-2</v>
      </c>
      <c r="M167" s="2">
        <f t="shared" si="15"/>
        <v>1.6800649290337358E-3</v>
      </c>
      <c r="N167" s="2">
        <f t="shared" si="16"/>
        <v>-0.10280136141125097</v>
      </c>
      <c r="O167" s="2">
        <f t="shared" si="17"/>
        <v>-0.44816358174342874</v>
      </c>
    </row>
    <row r="168" spans="1:15">
      <c r="A168" s="1" t="s">
        <v>0</v>
      </c>
      <c r="B168" s="16">
        <v>43280</v>
      </c>
      <c r="D168" s="2">
        <v>25.78</v>
      </c>
      <c r="E168" s="2">
        <v>26.24</v>
      </c>
      <c r="F168" s="2">
        <v>25.02</v>
      </c>
      <c r="G168" s="2">
        <v>25.11</v>
      </c>
      <c r="H168" s="2">
        <v>5639341</v>
      </c>
      <c r="I168" s="2">
        <v>25.11</v>
      </c>
      <c r="J168" s="2">
        <f t="shared" si="12"/>
        <v>-6.7246835443038645E-3</v>
      </c>
      <c r="K168" s="2">
        <f t="shared" si="13"/>
        <v>-1.3619416088196867E-3</v>
      </c>
      <c r="L168" s="2">
        <f t="shared" si="14"/>
        <v>-5.3627419354841778E-3</v>
      </c>
      <c r="M168" s="2">
        <f t="shared" si="15"/>
        <v>1.6800649288915787E-3</v>
      </c>
      <c r="N168" s="2">
        <f t="shared" si="16"/>
        <v>-0.31328468703200674</v>
      </c>
      <c r="O168" s="2">
        <f t="shared" si="17"/>
        <v>-0.40337071229299237</v>
      </c>
    </row>
    <row r="169" spans="1:15">
      <c r="A169" s="1" t="s">
        <v>0</v>
      </c>
      <c r="B169" s="16">
        <v>43283</v>
      </c>
      <c r="D169" s="2">
        <v>24.364999999999998</v>
      </c>
      <c r="E169" s="2">
        <v>24.844999999999999</v>
      </c>
      <c r="F169" s="2">
        <v>24.05</v>
      </c>
      <c r="G169" s="2">
        <v>24.64</v>
      </c>
      <c r="H169" s="2">
        <v>6334376</v>
      </c>
      <c r="I169" s="2">
        <v>24.64</v>
      </c>
      <c r="J169" s="2">
        <f t="shared" si="12"/>
        <v>-1.8717642373556307E-2</v>
      </c>
      <c r="K169" s="2">
        <f t="shared" si="13"/>
        <v>-5.6040758111037636E-4</v>
      </c>
      <c r="L169" s="2">
        <f t="shared" si="14"/>
        <v>-1.815723479244593E-2</v>
      </c>
      <c r="M169" s="2">
        <f t="shared" si="15"/>
        <v>1.6800649290710733E-3</v>
      </c>
      <c r="N169" s="2">
        <f t="shared" si="16"/>
        <v>-9.2528677867295156E-2</v>
      </c>
      <c r="O169" s="2">
        <f t="shared" si="17"/>
        <v>-0.46215158039625459</v>
      </c>
    </row>
    <row r="170" spans="1:15">
      <c r="A170" s="1" t="s">
        <v>0</v>
      </c>
      <c r="B170" s="16">
        <v>43284</v>
      </c>
      <c r="D170" s="2">
        <v>24.555</v>
      </c>
      <c r="E170" s="2">
        <v>24.93</v>
      </c>
      <c r="F170" s="2">
        <v>24.32</v>
      </c>
      <c r="G170" s="2">
        <v>24.484999999999999</v>
      </c>
      <c r="H170" s="2">
        <v>5983152</v>
      </c>
      <c r="I170" s="2">
        <v>24.484999999999999</v>
      </c>
      <c r="J170" s="2">
        <f t="shared" si="12"/>
        <v>-6.2905844155844619E-3</v>
      </c>
      <c r="K170" s="2">
        <f t="shared" si="13"/>
        <v>-1.5598516446976749E-3</v>
      </c>
      <c r="L170" s="2">
        <f t="shared" si="14"/>
        <v>-4.7307327708867872E-3</v>
      </c>
      <c r="M170" s="2">
        <f t="shared" si="15"/>
        <v>1.6800649288877735E-3</v>
      </c>
      <c r="N170" s="2">
        <f t="shared" si="16"/>
        <v>-0.35513841306509508</v>
      </c>
      <c r="O170" s="2">
        <f t="shared" si="17"/>
        <v>-0.41880476149342577</v>
      </c>
    </row>
    <row r="171" spans="1:15">
      <c r="A171" s="1" t="s">
        <v>0</v>
      </c>
      <c r="B171" s="16">
        <v>43285</v>
      </c>
      <c r="D171" s="2">
        <v>24.45</v>
      </c>
      <c r="E171" s="2">
        <v>24.835000000000001</v>
      </c>
      <c r="F171" s="2">
        <v>24.13</v>
      </c>
      <c r="G171" s="2">
        <v>24.265000000000001</v>
      </c>
      <c r="H171" s="2">
        <v>3979030</v>
      </c>
      <c r="I171" s="2">
        <v>24.265000000000001</v>
      </c>
      <c r="J171" s="2">
        <f t="shared" si="12"/>
        <v>-8.9850929140289516E-3</v>
      </c>
      <c r="K171" s="2">
        <f t="shared" si="13"/>
        <v>-5.2423153786833765E-4</v>
      </c>
      <c r="L171" s="2">
        <f t="shared" si="14"/>
        <v>-8.4608613761606132E-3</v>
      </c>
      <c r="M171" s="2">
        <f t="shared" si="15"/>
        <v>1.680064928917124E-3</v>
      </c>
      <c r="N171" s="2">
        <f t="shared" si="16"/>
        <v>-0.19856901729307228</v>
      </c>
      <c r="O171" s="2">
        <f t="shared" si="17"/>
        <v>-0.39995840411658173</v>
      </c>
    </row>
    <row r="172" spans="1:15">
      <c r="A172" s="1" t="s">
        <v>0</v>
      </c>
      <c r="B172" s="16">
        <v>43286</v>
      </c>
      <c r="D172" s="2">
        <v>24.265000000000001</v>
      </c>
      <c r="E172" s="2">
        <v>25.31</v>
      </c>
      <c r="F172" s="2">
        <v>24.245000000000001</v>
      </c>
      <c r="G172" s="2">
        <v>25.225000000000001</v>
      </c>
      <c r="H172" s="2">
        <v>7180418</v>
      </c>
      <c r="I172" s="2">
        <v>25.225000000000001</v>
      </c>
      <c r="J172" s="2">
        <f t="shared" si="12"/>
        <v>3.9563156810220518E-2</v>
      </c>
      <c r="K172" s="2">
        <f t="shared" si="13"/>
        <v>-7.4878083895384259E-4</v>
      </c>
      <c r="L172" s="2">
        <f t="shared" si="14"/>
        <v>4.0311937649174359E-2</v>
      </c>
      <c r="M172" s="2">
        <f t="shared" si="15"/>
        <v>1.6800649298437263E-3</v>
      </c>
      <c r="N172" s="2">
        <f t="shared" si="16"/>
        <v>4.1676610647321144E-2</v>
      </c>
      <c r="O172" s="2">
        <f t="shared" si="17"/>
        <v>-0.43804425839376065</v>
      </c>
    </row>
    <row r="173" spans="1:15">
      <c r="A173" s="1" t="s">
        <v>0</v>
      </c>
      <c r="B173" s="16">
        <v>43287</v>
      </c>
      <c r="D173" s="2">
        <v>25.785</v>
      </c>
      <c r="E173" s="2">
        <v>26.045000000000002</v>
      </c>
      <c r="F173" s="2">
        <v>24.95</v>
      </c>
      <c r="G173" s="2">
        <v>25.46</v>
      </c>
      <c r="H173" s="2">
        <v>6281353</v>
      </c>
      <c r="I173" s="2">
        <v>25.46</v>
      </c>
      <c r="J173" s="2">
        <f t="shared" si="12"/>
        <v>9.3161546085232666E-3</v>
      </c>
      <c r="K173" s="2">
        <f t="shared" si="13"/>
        <v>3.2970314310011703E-3</v>
      </c>
      <c r="L173" s="2">
        <f t="shared" si="14"/>
        <v>6.0191231775220963E-3</v>
      </c>
      <c r="M173" s="2">
        <f t="shared" si="15"/>
        <v>1.680064928896035E-3</v>
      </c>
      <c r="N173" s="2">
        <f t="shared" si="16"/>
        <v>0.2791212074160726</v>
      </c>
      <c r="O173" s="2">
        <f t="shared" si="17"/>
        <v>-0.41033436614300783</v>
      </c>
    </row>
    <row r="174" spans="1:15">
      <c r="A174" s="1" t="s">
        <v>0</v>
      </c>
      <c r="B174" s="16">
        <v>43290</v>
      </c>
      <c r="D174" s="2">
        <v>26</v>
      </c>
      <c r="E174" s="2">
        <v>26.105</v>
      </c>
      <c r="F174" s="2">
        <v>25.254999999999999</v>
      </c>
      <c r="G174" s="2">
        <v>25.765000000000001</v>
      </c>
      <c r="H174" s="2">
        <v>4601948</v>
      </c>
      <c r="I174" s="2">
        <v>25.765000000000001</v>
      </c>
      <c r="J174" s="2">
        <f t="shared" si="12"/>
        <v>1.1979575805184592E-2</v>
      </c>
      <c r="K174" s="2">
        <f t="shared" si="13"/>
        <v>7.7637016448679113E-4</v>
      </c>
      <c r="L174" s="2">
        <f t="shared" si="14"/>
        <v>1.1203205640697801E-2</v>
      </c>
      <c r="M174" s="2">
        <f t="shared" si="15"/>
        <v>1.6800649289492892E-3</v>
      </c>
      <c r="N174" s="2">
        <f t="shared" si="16"/>
        <v>0.14996287516549103</v>
      </c>
      <c r="O174" s="2">
        <f t="shared" si="17"/>
        <v>-0.46337498793973614</v>
      </c>
    </row>
    <row r="175" spans="1:15">
      <c r="A175" s="1" t="s">
        <v>0</v>
      </c>
      <c r="B175" s="16">
        <v>43291</v>
      </c>
      <c r="D175" s="2">
        <v>25.82</v>
      </c>
      <c r="E175" s="2">
        <v>25.93</v>
      </c>
      <c r="F175" s="2">
        <v>25.46</v>
      </c>
      <c r="G175" s="2">
        <v>25.67</v>
      </c>
      <c r="H175" s="2">
        <v>4082837</v>
      </c>
      <c r="I175" s="2">
        <v>25.67</v>
      </c>
      <c r="J175" s="2">
        <f t="shared" si="12"/>
        <v>-3.6871725208615898E-3</v>
      </c>
      <c r="K175" s="2">
        <f t="shared" si="13"/>
        <v>9.9832877718067522E-4</v>
      </c>
      <c r="L175" s="2">
        <f t="shared" si="14"/>
        <v>-4.6855012980422652E-3</v>
      </c>
      <c r="M175" s="2">
        <f t="shared" si="15"/>
        <v>1.6800649288875196E-3</v>
      </c>
      <c r="N175" s="2">
        <f t="shared" si="16"/>
        <v>-0.35856674067927335</v>
      </c>
      <c r="O175" s="2">
        <f t="shared" si="17"/>
        <v>-0.40014892114835637</v>
      </c>
    </row>
    <row r="176" spans="1:15">
      <c r="A176" s="1" t="s">
        <v>0</v>
      </c>
      <c r="B176" s="16">
        <v>43292</v>
      </c>
      <c r="D176" s="2">
        <v>25.12</v>
      </c>
      <c r="E176" s="2">
        <v>25.225000000000001</v>
      </c>
      <c r="F176" s="2">
        <v>24.655000000000001</v>
      </c>
      <c r="G176" s="2">
        <v>24.725000000000001</v>
      </c>
      <c r="H176" s="2">
        <v>5496880</v>
      </c>
      <c r="I176" s="2">
        <v>24.725000000000001</v>
      </c>
      <c r="J176" s="2">
        <f t="shared" si="12"/>
        <v>-3.681340085703156E-2</v>
      </c>
      <c r="K176" s="2">
        <f t="shared" si="13"/>
        <v>-3.0727385458947964E-4</v>
      </c>
      <c r="L176" s="2">
        <f t="shared" si="14"/>
        <v>-3.6506127002442081E-2</v>
      </c>
      <c r="M176" s="2">
        <f t="shared" si="15"/>
        <v>1.6800649296693441E-3</v>
      </c>
      <c r="N176" s="2">
        <f t="shared" si="16"/>
        <v>-4.6021450852810432E-2</v>
      </c>
      <c r="O176" s="2">
        <f t="shared" si="17"/>
        <v>-0.40050493227236483</v>
      </c>
    </row>
    <row r="177" spans="1:15">
      <c r="A177" s="1" t="s">
        <v>0</v>
      </c>
      <c r="B177" s="16">
        <v>43293</v>
      </c>
      <c r="D177" s="2">
        <v>25.445</v>
      </c>
      <c r="E177" s="2">
        <v>25.47</v>
      </c>
      <c r="F177" s="2">
        <v>24.91</v>
      </c>
      <c r="G177" s="2">
        <v>25.43</v>
      </c>
      <c r="H177" s="2">
        <v>5527079</v>
      </c>
      <c r="I177" s="2">
        <v>25.43</v>
      </c>
      <c r="J177" s="2">
        <f t="shared" si="12"/>
        <v>2.851365015166828E-2</v>
      </c>
      <c r="K177" s="2">
        <f t="shared" si="13"/>
        <v>-3.0678780333404329E-3</v>
      </c>
      <c r="L177" s="2">
        <f t="shared" si="14"/>
        <v>3.1581528185008714E-2</v>
      </c>
      <c r="M177" s="2">
        <f t="shared" si="15"/>
        <v>1.6800649294693437E-3</v>
      </c>
      <c r="N177" s="2">
        <f t="shared" si="16"/>
        <v>5.3197708471461672E-2</v>
      </c>
      <c r="O177" s="2">
        <f t="shared" si="17"/>
        <v>-1.1262752515934114</v>
      </c>
    </row>
    <row r="178" spans="1:15">
      <c r="A178" s="1" t="s">
        <v>0</v>
      </c>
      <c r="B178" s="16">
        <v>43294</v>
      </c>
      <c r="D178" s="2">
        <v>25.635000000000002</v>
      </c>
      <c r="E178" s="2">
        <v>25.76</v>
      </c>
      <c r="F178" s="2">
        <v>25.3</v>
      </c>
      <c r="G178" s="2">
        <v>25.454999999999998</v>
      </c>
      <c r="H178" s="2">
        <v>4195834</v>
      </c>
      <c r="I178" s="2">
        <v>25.454999999999998</v>
      </c>
      <c r="J178" s="2">
        <f t="shared" si="12"/>
        <v>9.8309083759333784E-4</v>
      </c>
      <c r="K178" s="2">
        <f t="shared" si="13"/>
        <v>2.3762108067760532E-3</v>
      </c>
      <c r="L178" s="2">
        <f t="shared" si="14"/>
        <v>-1.3931199691827154E-3</v>
      </c>
      <c r="M178" s="2">
        <f t="shared" si="15"/>
        <v>1.6800649288755821E-3</v>
      </c>
      <c r="N178" s="2">
        <f t="shared" si="16"/>
        <v>-1.2059728997074137</v>
      </c>
      <c r="O178" s="2">
        <f t="shared" si="17"/>
        <v>-0.40690439727927141</v>
      </c>
    </row>
    <row r="179" spans="1:15">
      <c r="A179" s="1" t="s">
        <v>0</v>
      </c>
      <c r="B179" s="16">
        <v>43297</v>
      </c>
      <c r="D179" s="2">
        <v>25.324999999999999</v>
      </c>
      <c r="E179" s="2">
        <v>25.355</v>
      </c>
      <c r="F179" s="2">
        <v>25.045000000000002</v>
      </c>
      <c r="G179" s="2">
        <v>25.114999999999998</v>
      </c>
      <c r="H179" s="2">
        <v>2845131</v>
      </c>
      <c r="I179" s="2">
        <v>25.114999999999998</v>
      </c>
      <c r="J179" s="2">
        <f t="shared" si="12"/>
        <v>-1.3356904340993906E-2</v>
      </c>
      <c r="K179" s="2">
        <f t="shared" si="13"/>
        <v>8.192676349419033E-5</v>
      </c>
      <c r="L179" s="2">
        <f t="shared" si="14"/>
        <v>-1.3438831104488097E-2</v>
      </c>
      <c r="M179" s="2">
        <f t="shared" si="15"/>
        <v>1.6800649289821492E-3</v>
      </c>
      <c r="N179" s="2">
        <f t="shared" si="16"/>
        <v>-0.12501570381527205</v>
      </c>
      <c r="O179" s="2">
        <f t="shared" si="17"/>
        <v>-0.40124334223028157</v>
      </c>
    </row>
    <row r="180" spans="1:15">
      <c r="A180" s="1" t="s">
        <v>0</v>
      </c>
      <c r="B180" s="16">
        <v>43298</v>
      </c>
      <c r="D180" s="2">
        <v>25.324999999999999</v>
      </c>
      <c r="E180" s="2">
        <v>25.78</v>
      </c>
      <c r="F180" s="2">
        <v>25.03</v>
      </c>
      <c r="G180" s="2">
        <v>25.73</v>
      </c>
      <c r="H180" s="2">
        <v>3934449</v>
      </c>
      <c r="I180" s="2">
        <v>25.73</v>
      </c>
      <c r="J180" s="2">
        <f t="shared" si="12"/>
        <v>2.4487358152498587E-2</v>
      </c>
      <c r="K180" s="2">
        <f t="shared" si="13"/>
        <v>-1.113109695578092E-3</v>
      </c>
      <c r="L180" s="2">
        <f t="shared" si="14"/>
        <v>2.560046784807668E-2</v>
      </c>
      <c r="M180" s="2">
        <f t="shared" si="15"/>
        <v>1.6800649292653441E-3</v>
      </c>
      <c r="N180" s="2">
        <f t="shared" si="16"/>
        <v>6.5626336957414808E-2</v>
      </c>
      <c r="O180" s="2">
        <f t="shared" si="17"/>
        <v>-0.4009832244723307</v>
      </c>
    </row>
    <row r="181" spans="1:15">
      <c r="A181" s="1" t="s">
        <v>0</v>
      </c>
      <c r="B181" s="16">
        <v>43299</v>
      </c>
      <c r="D181" s="2">
        <v>26</v>
      </c>
      <c r="E181" s="2">
        <v>26.56</v>
      </c>
      <c r="F181" s="2">
        <v>25.9</v>
      </c>
      <c r="G181" s="2">
        <v>26.484999999999999</v>
      </c>
      <c r="H181" s="2">
        <v>5103107</v>
      </c>
      <c r="I181" s="2">
        <v>26.484999999999999</v>
      </c>
      <c r="J181" s="2">
        <f t="shared" si="12"/>
        <v>2.9343179168286007E-2</v>
      </c>
      <c r="K181" s="2">
        <f t="shared" si="13"/>
        <v>2.0406761239566665E-3</v>
      </c>
      <c r="L181" s="2">
        <f t="shared" si="14"/>
        <v>2.7302503044329341E-2</v>
      </c>
      <c r="M181" s="2">
        <f t="shared" si="15"/>
        <v>1.6800649293190525E-3</v>
      </c>
      <c r="N181" s="2">
        <f t="shared" si="16"/>
        <v>6.1535197948379958E-2</v>
      </c>
      <c r="O181" s="2">
        <f t="shared" si="17"/>
        <v>-0.4004291874957176</v>
      </c>
    </row>
    <row r="182" spans="1:15">
      <c r="A182" s="1" t="s">
        <v>0</v>
      </c>
      <c r="B182" s="16">
        <v>43300</v>
      </c>
      <c r="D182" s="2">
        <v>26.684999999999999</v>
      </c>
      <c r="E182" s="2">
        <v>26.81</v>
      </c>
      <c r="F182" s="2">
        <v>25.645</v>
      </c>
      <c r="G182" s="2">
        <v>25.69</v>
      </c>
      <c r="H182" s="2">
        <v>5055027</v>
      </c>
      <c r="I182" s="2">
        <v>25.69</v>
      </c>
      <c r="J182" s="2">
        <f t="shared" si="12"/>
        <v>-3.0016990749480769E-2</v>
      </c>
      <c r="K182" s="2">
        <f t="shared" si="13"/>
        <v>2.4453403571260295E-3</v>
      </c>
      <c r="L182" s="2">
        <f t="shared" si="14"/>
        <v>-3.2462331106606797E-2</v>
      </c>
      <c r="M182" s="2">
        <f t="shared" si="15"/>
        <v>1.6800649295029908E-3</v>
      </c>
      <c r="N182" s="2">
        <f t="shared" si="16"/>
        <v>-5.175429096529241E-2</v>
      </c>
      <c r="O182" s="2">
        <f t="shared" si="17"/>
        <v>-0.40329327235812829</v>
      </c>
    </row>
    <row r="183" spans="1:15">
      <c r="A183" s="1" t="s">
        <v>0</v>
      </c>
      <c r="B183" s="16">
        <v>43301</v>
      </c>
      <c r="D183" s="2">
        <v>25.754999999999999</v>
      </c>
      <c r="E183" s="2">
        <v>25.824999999999999</v>
      </c>
      <c r="F183" s="2">
        <v>24.655000000000001</v>
      </c>
      <c r="G183" s="2">
        <v>25.155000000000001</v>
      </c>
      <c r="H183" s="2">
        <v>6456356</v>
      </c>
      <c r="I183" s="2">
        <v>25.155000000000001</v>
      </c>
      <c r="J183" s="2">
        <f t="shared" si="12"/>
        <v>-2.0825223822499031E-2</v>
      </c>
      <c r="K183" s="2">
        <f t="shared" si="13"/>
        <v>-2.5014930542535201E-3</v>
      </c>
      <c r="L183" s="2">
        <f t="shared" si="14"/>
        <v>-1.8323730768245512E-2</v>
      </c>
      <c r="M183" s="2">
        <f t="shared" si="15"/>
        <v>1.6800649290746963E-3</v>
      </c>
      <c r="N183" s="2">
        <f t="shared" si="16"/>
        <v>-9.168792918449771E-2</v>
      </c>
      <c r="O183" s="2">
        <f t="shared" si="17"/>
        <v>-0.42418154330996904</v>
      </c>
    </row>
    <row r="184" spans="1:15">
      <c r="A184" s="1" t="s">
        <v>0</v>
      </c>
      <c r="B184" s="16">
        <v>43304</v>
      </c>
      <c r="D184" s="2">
        <v>25.06</v>
      </c>
      <c r="E184" s="2">
        <v>25.434999999999999</v>
      </c>
      <c r="F184" s="2">
        <v>24.984999999999999</v>
      </c>
      <c r="G184" s="2">
        <v>25.3</v>
      </c>
      <c r="H184" s="2">
        <v>3134877</v>
      </c>
      <c r="I184" s="2">
        <v>25.3</v>
      </c>
      <c r="J184" s="2">
        <f t="shared" si="12"/>
        <v>5.7642615782150493E-3</v>
      </c>
      <c r="K184" s="2">
        <f t="shared" si="13"/>
        <v>-1.7354888496328496E-3</v>
      </c>
      <c r="L184" s="2">
        <f t="shared" si="14"/>
        <v>7.4997504278478989E-3</v>
      </c>
      <c r="M184" s="2">
        <f t="shared" si="15"/>
        <v>1.680064928907974E-3</v>
      </c>
      <c r="N184" s="2">
        <f t="shared" si="16"/>
        <v>0.22401611161214058</v>
      </c>
      <c r="O184" s="2">
        <f t="shared" si="17"/>
        <v>-0.39959090259458863</v>
      </c>
    </row>
    <row r="185" spans="1:15">
      <c r="A185" s="1" t="s">
        <v>0</v>
      </c>
      <c r="B185" s="16">
        <v>43305</v>
      </c>
      <c r="D185" s="2">
        <v>25.6</v>
      </c>
      <c r="E185" s="2">
        <v>26.9</v>
      </c>
      <c r="F185" s="2">
        <v>25.545000000000002</v>
      </c>
      <c r="G185" s="2">
        <v>26.655000000000001</v>
      </c>
      <c r="H185" s="2">
        <v>7620037</v>
      </c>
      <c r="I185" s="2">
        <v>26.655000000000001</v>
      </c>
      <c r="J185" s="2">
        <f t="shared" si="12"/>
        <v>5.3557312252964444E-2</v>
      </c>
      <c r="K185" s="2">
        <f t="shared" si="13"/>
        <v>4.8036994851173754E-4</v>
      </c>
      <c r="L185" s="2">
        <f t="shared" si="14"/>
        <v>5.3076942304452708E-2</v>
      </c>
      <c r="M185" s="2">
        <f t="shared" si="15"/>
        <v>1.6800649305547888E-3</v>
      </c>
      <c r="N185" s="2">
        <f t="shared" si="16"/>
        <v>3.1653385775650557E-2</v>
      </c>
      <c r="O185" s="2">
        <f t="shared" si="17"/>
        <v>-0.40213365193544348</v>
      </c>
    </row>
    <row r="186" spans="1:15">
      <c r="A186" s="1" t="s">
        <v>0</v>
      </c>
      <c r="B186" s="16">
        <v>43306</v>
      </c>
      <c r="D186" s="2">
        <v>26.555</v>
      </c>
      <c r="E186" s="2">
        <v>26.555</v>
      </c>
      <c r="F186" s="2">
        <v>26.11</v>
      </c>
      <c r="G186" s="2">
        <v>26.2</v>
      </c>
      <c r="H186" s="2">
        <v>4327217</v>
      </c>
      <c r="I186" s="2">
        <v>26.2</v>
      </c>
      <c r="J186" s="2">
        <f t="shared" si="12"/>
        <v>-1.7069968111048651E-2</v>
      </c>
      <c r="K186" s="2">
        <f t="shared" si="13"/>
        <v>4.4632470231079028E-3</v>
      </c>
      <c r="L186" s="2">
        <f t="shared" si="14"/>
        <v>-2.1533215134156555E-2</v>
      </c>
      <c r="M186" s="2">
        <f t="shared" si="15"/>
        <v>1.6800649291509975E-3</v>
      </c>
      <c r="N186" s="2">
        <f t="shared" si="16"/>
        <v>-7.8022019409727347E-2</v>
      </c>
      <c r="O186" s="2">
        <f t="shared" si="17"/>
        <v>-0.40786480921037255</v>
      </c>
    </row>
    <row r="187" spans="1:15">
      <c r="A187" s="1" t="s">
        <v>0</v>
      </c>
      <c r="B187" s="16">
        <v>43307</v>
      </c>
      <c r="D187" s="2">
        <v>26.88</v>
      </c>
      <c r="E187" s="2">
        <v>26.9</v>
      </c>
      <c r="F187" s="2">
        <v>26.285</v>
      </c>
      <c r="G187" s="2">
        <v>26.495000000000001</v>
      </c>
      <c r="H187" s="2">
        <v>4516246</v>
      </c>
      <c r="I187" s="2">
        <v>26.495000000000001</v>
      </c>
      <c r="J187" s="2">
        <f t="shared" si="12"/>
        <v>1.125954198473289E-2</v>
      </c>
      <c r="K187" s="2">
        <f t="shared" si="13"/>
        <v>-1.4225412208202751E-3</v>
      </c>
      <c r="L187" s="2">
        <f t="shared" si="14"/>
        <v>1.2682083205553165E-2</v>
      </c>
      <c r="M187" s="2">
        <f t="shared" si="15"/>
        <v>1.6800649289703587E-3</v>
      </c>
      <c r="N187" s="2">
        <f t="shared" si="16"/>
        <v>0.13247546966374582</v>
      </c>
      <c r="O187" s="2">
        <f t="shared" si="17"/>
        <v>-0.40366907798631563</v>
      </c>
    </row>
    <row r="188" spans="1:15">
      <c r="A188" s="1" t="s">
        <v>0</v>
      </c>
      <c r="B188" s="16">
        <v>43308</v>
      </c>
      <c r="D188" s="2">
        <v>26.864999999999998</v>
      </c>
      <c r="E188" s="2">
        <v>27.355</v>
      </c>
      <c r="F188" s="2">
        <v>26.8</v>
      </c>
      <c r="G188" s="2">
        <v>26.984999999999999</v>
      </c>
      <c r="H188" s="2">
        <v>5383694</v>
      </c>
      <c r="I188" s="2">
        <v>26.984999999999999</v>
      </c>
      <c r="J188" s="2">
        <f t="shared" si="12"/>
        <v>1.8494055482166386E-2</v>
      </c>
      <c r="K188" s="2">
        <f t="shared" si="13"/>
        <v>9.3832410796783241E-4</v>
      </c>
      <c r="L188" s="2">
        <f t="shared" si="14"/>
        <v>1.7555731374198552E-2</v>
      </c>
      <c r="M188" s="2">
        <f t="shared" si="15"/>
        <v>1.6800649290582602E-3</v>
      </c>
      <c r="N188" s="2">
        <f t="shared" si="16"/>
        <v>9.569894259873625E-2</v>
      </c>
      <c r="O188" s="2">
        <f t="shared" si="17"/>
        <v>-0.54680627915252367</v>
      </c>
    </row>
    <row r="189" spans="1:15">
      <c r="A189" s="1" t="s">
        <v>0</v>
      </c>
      <c r="B189" s="16">
        <v>43311</v>
      </c>
      <c r="D189" s="2">
        <v>26.795000000000002</v>
      </c>
      <c r="E189" s="2">
        <v>27.225000000000001</v>
      </c>
      <c r="F189" s="2">
        <v>26.58</v>
      </c>
      <c r="G189" s="2">
        <v>27.11</v>
      </c>
      <c r="H189" s="2">
        <v>3066784</v>
      </c>
      <c r="I189" s="2">
        <v>27.11</v>
      </c>
      <c r="J189" s="2">
        <f t="shared" si="12"/>
        <v>4.6322030757828423E-3</v>
      </c>
      <c r="K189" s="2">
        <f t="shared" si="13"/>
        <v>1.5412188290199842E-3</v>
      </c>
      <c r="L189" s="2">
        <f t="shared" si="14"/>
        <v>3.0909842467628582E-3</v>
      </c>
      <c r="M189" s="2">
        <f t="shared" si="15"/>
        <v>1.6800649288801234E-3</v>
      </c>
      <c r="N189" s="2">
        <f t="shared" si="16"/>
        <v>0.54353720198982913</v>
      </c>
      <c r="O189" s="2">
        <f t="shared" si="17"/>
        <v>-0.40575356043569233</v>
      </c>
    </row>
    <row r="190" spans="1:15">
      <c r="A190" s="1" t="s">
        <v>0</v>
      </c>
      <c r="B190" s="16">
        <v>43312</v>
      </c>
      <c r="D190" s="2">
        <v>27.094999999999999</v>
      </c>
      <c r="E190" s="2">
        <v>27.695</v>
      </c>
      <c r="F190" s="2">
        <v>26.765000000000001</v>
      </c>
      <c r="G190" s="2">
        <v>27.515000000000001</v>
      </c>
      <c r="H190" s="2">
        <v>6088794</v>
      </c>
      <c r="I190" s="2">
        <v>27.515000000000001</v>
      </c>
      <c r="J190" s="2">
        <f t="shared" si="12"/>
        <v>1.4939136849870938E-2</v>
      </c>
      <c r="K190" s="2">
        <f t="shared" si="13"/>
        <v>3.8602883002730748E-4</v>
      </c>
      <c r="L190" s="2">
        <f t="shared" si="14"/>
        <v>1.4553108019843631E-2</v>
      </c>
      <c r="M190" s="2">
        <f t="shared" si="15"/>
        <v>1.6800649290007537E-3</v>
      </c>
      <c r="N190" s="2">
        <f t="shared" si="16"/>
        <v>0.1154437201118779</v>
      </c>
      <c r="O190" s="2">
        <f t="shared" si="17"/>
        <v>-0.40220411886792817</v>
      </c>
    </row>
    <row r="191" spans="1:15">
      <c r="A191" s="1" t="s">
        <v>0</v>
      </c>
      <c r="B191" s="16">
        <v>43313</v>
      </c>
      <c r="D191" s="2">
        <v>28.204999999999998</v>
      </c>
      <c r="E191" s="2">
        <v>28.3</v>
      </c>
      <c r="F191" s="2">
        <v>27.745000000000001</v>
      </c>
      <c r="G191" s="2">
        <v>28.135000000000002</v>
      </c>
      <c r="H191" s="2">
        <v>8572813</v>
      </c>
      <c r="I191" s="2">
        <v>28.135000000000002</v>
      </c>
      <c r="J191" s="2">
        <f t="shared" si="12"/>
        <v>2.2533163728875195E-2</v>
      </c>
      <c r="K191" s="2">
        <f t="shared" si="13"/>
        <v>1.244966471768706E-3</v>
      </c>
      <c r="L191" s="2">
        <f t="shared" si="14"/>
        <v>2.1288197257106487E-2</v>
      </c>
      <c r="M191" s="2">
        <f t="shared" si="15"/>
        <v>1.6800649291447392E-3</v>
      </c>
      <c r="N191" s="2">
        <f t="shared" si="16"/>
        <v>7.8920018865566224E-2</v>
      </c>
      <c r="O191" s="2">
        <f t="shared" si="17"/>
        <v>-0.40037376745962927</v>
      </c>
    </row>
    <row r="192" spans="1:15">
      <c r="A192" s="1" t="s">
        <v>0</v>
      </c>
      <c r="B192" s="16">
        <v>43314</v>
      </c>
      <c r="D192" s="2">
        <v>27.92</v>
      </c>
      <c r="E192" s="2">
        <v>27.92</v>
      </c>
      <c r="F192" s="2">
        <v>26.895</v>
      </c>
      <c r="G192" s="2">
        <v>27.254999999999999</v>
      </c>
      <c r="H192" s="2">
        <v>7235736</v>
      </c>
      <c r="I192" s="2">
        <v>27.254999999999999</v>
      </c>
      <c r="J192" s="2">
        <f t="shared" si="12"/>
        <v>-3.1277767904745069E-2</v>
      </c>
      <c r="K192" s="2">
        <f t="shared" si="13"/>
        <v>1.8778215654117051E-3</v>
      </c>
      <c r="L192" s="2">
        <f t="shared" si="14"/>
        <v>-3.3155589470156774E-2</v>
      </c>
      <c r="M192" s="2">
        <f t="shared" si="15"/>
        <v>1.6800649295301245E-3</v>
      </c>
      <c r="N192" s="2">
        <f t="shared" si="16"/>
        <v>-5.0672147784986445E-2</v>
      </c>
      <c r="O192" s="2">
        <f t="shared" si="17"/>
        <v>-0.40248071403515584</v>
      </c>
    </row>
    <row r="193" spans="1:15">
      <c r="A193" s="1" t="s">
        <v>0</v>
      </c>
      <c r="B193" s="16">
        <v>43315</v>
      </c>
      <c r="D193" s="2">
        <v>27.39</v>
      </c>
      <c r="E193" s="2">
        <v>27.864999999999998</v>
      </c>
      <c r="F193" s="2">
        <v>27.23</v>
      </c>
      <c r="G193" s="2">
        <v>27.74</v>
      </c>
      <c r="H193" s="2">
        <v>4264227</v>
      </c>
      <c r="I193" s="2">
        <v>27.74</v>
      </c>
      <c r="J193" s="2">
        <f t="shared" si="12"/>
        <v>1.7794900018345237E-2</v>
      </c>
      <c r="K193" s="2">
        <f t="shared" si="13"/>
        <v>-2.6065610580110156E-3</v>
      </c>
      <c r="L193" s="2">
        <f t="shared" si="14"/>
        <v>2.0401461076356254E-2</v>
      </c>
      <c r="M193" s="2">
        <f t="shared" si="15"/>
        <v>1.6800649291226889E-3</v>
      </c>
      <c r="N193" s="2">
        <f t="shared" si="16"/>
        <v>8.2350225938952817E-2</v>
      </c>
      <c r="O193" s="2">
        <f t="shared" si="17"/>
        <v>-0.40266526048298057</v>
      </c>
    </row>
    <row r="194" spans="1:15">
      <c r="A194" s="1" t="s">
        <v>0</v>
      </c>
      <c r="B194" s="16">
        <v>43318</v>
      </c>
      <c r="D194" s="2">
        <v>27.74</v>
      </c>
      <c r="E194" s="2">
        <v>27.835000000000001</v>
      </c>
      <c r="F194" s="2">
        <v>27</v>
      </c>
      <c r="G194" s="2">
        <v>27.23</v>
      </c>
      <c r="H194" s="2">
        <v>4101611</v>
      </c>
      <c r="I194" s="2">
        <v>27.23</v>
      </c>
      <c r="J194" s="2">
        <f t="shared" si="12"/>
        <v>-1.8385003604902597E-2</v>
      </c>
      <c r="K194" s="2">
        <f t="shared" si="13"/>
        <v>1.4829540765273562E-3</v>
      </c>
      <c r="L194" s="2">
        <f t="shared" si="14"/>
        <v>-1.9867957681429953E-2</v>
      </c>
      <c r="M194" s="2">
        <f t="shared" si="15"/>
        <v>1.6800649291098743E-3</v>
      </c>
      <c r="N194" s="2">
        <f t="shared" si="16"/>
        <v>-8.4561531489478953E-2</v>
      </c>
      <c r="O194" s="2">
        <f t="shared" si="17"/>
        <v>-0.40060267041067071</v>
      </c>
    </row>
    <row r="195" spans="1:15">
      <c r="A195" s="1" t="s">
        <v>0</v>
      </c>
      <c r="B195" s="16">
        <v>43319</v>
      </c>
      <c r="D195" s="2">
        <v>27.43</v>
      </c>
      <c r="E195" s="2">
        <v>28.17</v>
      </c>
      <c r="F195" s="2">
        <v>27.43</v>
      </c>
      <c r="G195" s="2">
        <v>28.02</v>
      </c>
      <c r="H195" s="2">
        <v>5168760</v>
      </c>
      <c r="I195" s="2">
        <v>28.02</v>
      </c>
      <c r="J195" s="2">
        <f t="shared" si="12"/>
        <v>2.9012118986412015E-2</v>
      </c>
      <c r="K195" s="2">
        <f t="shared" si="13"/>
        <v>-1.5321308922642521E-3</v>
      </c>
      <c r="L195" s="2">
        <f t="shared" si="14"/>
        <v>3.0544249878676266E-2</v>
      </c>
      <c r="M195" s="2">
        <f t="shared" si="15"/>
        <v>1.6800649294309059E-3</v>
      </c>
      <c r="N195" s="2">
        <f t="shared" si="16"/>
        <v>5.5004294952543685E-2</v>
      </c>
      <c r="O195" s="2">
        <f t="shared" si="17"/>
        <v>-0.4034738500269977</v>
      </c>
    </row>
    <row r="196" spans="1:15">
      <c r="A196" s="1" t="s">
        <v>0</v>
      </c>
      <c r="B196" s="16">
        <v>43320</v>
      </c>
      <c r="D196" s="2">
        <v>27.824999999999999</v>
      </c>
      <c r="E196" s="2">
        <v>27.97</v>
      </c>
      <c r="F196" s="2">
        <v>27.49</v>
      </c>
      <c r="G196" s="2">
        <v>27.585000000000001</v>
      </c>
      <c r="H196" s="2">
        <v>2982460</v>
      </c>
      <c r="I196" s="2">
        <v>27.585000000000001</v>
      </c>
      <c r="J196" s="2">
        <f t="shared" ref="J196:J259" si="18">(I196-I195)/I195</f>
        <v>-1.5524625267665907E-2</v>
      </c>
      <c r="K196" s="2">
        <f t="shared" ref="K196:K259" si="19">J196*S$13+J195*S$14</f>
        <v>2.4177511576486625E-3</v>
      </c>
      <c r="L196" s="2">
        <f t="shared" si="14"/>
        <v>-1.7942376425314571E-2</v>
      </c>
      <c r="M196" s="2">
        <f t="shared" si="15"/>
        <v>1.6800649290664468E-3</v>
      </c>
      <c r="N196" s="2">
        <f t="shared" si="16"/>
        <v>-9.3636700581984991E-2</v>
      </c>
      <c r="O196" s="2">
        <f t="shared" si="17"/>
        <v>-0.55016498955354032</v>
      </c>
    </row>
    <row r="197" spans="1:15">
      <c r="A197" s="1" t="s">
        <v>0</v>
      </c>
      <c r="B197" s="16">
        <v>43321</v>
      </c>
      <c r="D197" s="2">
        <v>27.585000000000001</v>
      </c>
      <c r="E197" s="2">
        <v>27.695</v>
      </c>
      <c r="F197" s="2">
        <v>27.31</v>
      </c>
      <c r="G197" s="2">
        <v>27.465</v>
      </c>
      <c r="H197" s="2">
        <v>2927316</v>
      </c>
      <c r="I197" s="2">
        <v>27.465</v>
      </c>
      <c r="J197" s="2">
        <f t="shared" si="18"/>
        <v>-4.3501903208265722E-3</v>
      </c>
      <c r="K197" s="2">
        <f t="shared" si="19"/>
        <v>-1.2937586782454775E-3</v>
      </c>
      <c r="L197" s="2">
        <f t="shared" si="14"/>
        <v>-3.0564316425810947E-3</v>
      </c>
      <c r="M197" s="2">
        <f t="shared" si="15"/>
        <v>1.6800649288799968E-3</v>
      </c>
      <c r="N197" s="2">
        <f t="shared" si="16"/>
        <v>-0.54968182683163691</v>
      </c>
      <c r="O197" s="2">
        <f t="shared" si="17"/>
        <v>-0.40086220272118533</v>
      </c>
    </row>
    <row r="198" spans="1:15">
      <c r="A198" s="1" t="s">
        <v>0</v>
      </c>
      <c r="B198" s="16">
        <v>43322</v>
      </c>
      <c r="D198" s="2">
        <v>27.08</v>
      </c>
      <c r="E198" s="2">
        <v>27.114999999999998</v>
      </c>
      <c r="F198" s="2">
        <v>26.204999999999998</v>
      </c>
      <c r="G198" s="2">
        <v>26.68</v>
      </c>
      <c r="H198" s="2">
        <v>5883698</v>
      </c>
      <c r="I198" s="2">
        <v>26.68</v>
      </c>
      <c r="J198" s="2">
        <f t="shared" si="18"/>
        <v>-2.8581831421809582E-2</v>
      </c>
      <c r="K198" s="2">
        <f t="shared" si="19"/>
        <v>-3.6252704220248317E-4</v>
      </c>
      <c r="L198" s="2">
        <f t="shared" ref="L198:L261" si="20">J198-K198</f>
        <v>-2.82193043796071E-2</v>
      </c>
      <c r="M198" s="2">
        <f t="shared" ref="M198:M261" si="21">SQRT(S$9+S$10*L198^2+S$11*M197^2)</f>
        <v>1.6800649293494145E-3</v>
      </c>
      <c r="N198" s="2">
        <f t="shared" ref="N198:N261" si="22">M198/L198</f>
        <v>-5.9536015018269779E-2</v>
      </c>
      <c r="O198" s="2">
        <f t="shared" ref="O198:O261" si="23">-0.5*(N199^2)-LOG(2*PI())/2</f>
        <v>-0.40823432658383535</v>
      </c>
    </row>
    <row r="199" spans="1:15">
      <c r="A199" s="1" t="s">
        <v>0</v>
      </c>
      <c r="B199" s="16">
        <v>43325</v>
      </c>
      <c r="D199" s="2">
        <v>26.4</v>
      </c>
      <c r="E199" s="2">
        <v>26.555</v>
      </c>
      <c r="F199" s="2">
        <v>26.15</v>
      </c>
      <c r="G199" s="2">
        <v>26.285</v>
      </c>
      <c r="H199" s="2">
        <v>3960692</v>
      </c>
      <c r="I199" s="2">
        <v>26.285</v>
      </c>
      <c r="J199" s="2">
        <f t="shared" si="18"/>
        <v>-1.4805097451274347E-2</v>
      </c>
      <c r="K199" s="2">
        <f t="shared" si="19"/>
        <v>-2.3818927545473036E-3</v>
      </c>
      <c r="L199" s="2">
        <f t="shared" si="20"/>
        <v>-1.2423204696727044E-2</v>
      </c>
      <c r="M199" s="2">
        <f t="shared" si="21"/>
        <v>1.6800649289664821E-3</v>
      </c>
      <c r="N199" s="2">
        <f t="shared" si="22"/>
        <v>-0.1352360336950017</v>
      </c>
      <c r="O199" s="2">
        <f t="shared" si="23"/>
        <v>-0.49177296006293614</v>
      </c>
    </row>
    <row r="200" spans="1:15">
      <c r="A200" s="1" t="s">
        <v>0</v>
      </c>
      <c r="B200" s="16">
        <v>43326</v>
      </c>
      <c r="D200" s="2">
        <v>26.445</v>
      </c>
      <c r="E200" s="2">
        <v>26.62</v>
      </c>
      <c r="F200" s="2">
        <v>25.81</v>
      </c>
      <c r="G200" s="2">
        <v>26.15</v>
      </c>
      <c r="H200" s="2">
        <v>3782272</v>
      </c>
      <c r="I200" s="2">
        <v>26.15</v>
      </c>
      <c r="J200" s="2">
        <f t="shared" si="18"/>
        <v>-5.1360091306829588E-3</v>
      </c>
      <c r="K200" s="2">
        <f t="shared" si="19"/>
        <v>-1.2337961773383262E-3</v>
      </c>
      <c r="L200" s="2">
        <f t="shared" si="20"/>
        <v>-3.9022129533446328E-3</v>
      </c>
      <c r="M200" s="2">
        <f t="shared" si="21"/>
        <v>1.6800649288835074E-3</v>
      </c>
      <c r="N200" s="2">
        <f t="shared" si="22"/>
        <v>-0.43054157960382555</v>
      </c>
      <c r="O200" s="2">
        <f t="shared" si="23"/>
        <v>-0.39972390717230261</v>
      </c>
    </row>
    <row r="201" spans="1:15">
      <c r="A201" s="1" t="s">
        <v>0</v>
      </c>
      <c r="B201" s="16">
        <v>43327</v>
      </c>
      <c r="D201" s="2">
        <v>26</v>
      </c>
      <c r="E201" s="2">
        <v>26.015000000000001</v>
      </c>
      <c r="F201" s="2">
        <v>24.625</v>
      </c>
      <c r="G201" s="2">
        <v>24.905000000000001</v>
      </c>
      <c r="H201" s="2">
        <v>7141718</v>
      </c>
      <c r="I201" s="2">
        <v>24.905000000000001</v>
      </c>
      <c r="J201" s="2">
        <f t="shared" si="18"/>
        <v>-4.7609942638623233E-2</v>
      </c>
      <c r="K201" s="2">
        <f t="shared" si="19"/>
        <v>-4.280139629655687E-4</v>
      </c>
      <c r="L201" s="2">
        <f t="shared" si="20"/>
        <v>-4.7181928675657667E-2</v>
      </c>
      <c r="M201" s="2">
        <f t="shared" si="21"/>
        <v>1.6800649302022564E-3</v>
      </c>
      <c r="N201" s="2">
        <f t="shared" si="22"/>
        <v>-3.5608229196214349E-2</v>
      </c>
      <c r="O201" s="2">
        <f t="shared" si="23"/>
        <v>-0.40519013729215803</v>
      </c>
    </row>
    <row r="202" spans="1:15">
      <c r="A202" s="1" t="s">
        <v>0</v>
      </c>
      <c r="B202" s="16">
        <v>43328</v>
      </c>
      <c r="D202" s="2">
        <v>25.434999999999999</v>
      </c>
      <c r="E202" s="2">
        <v>25.454999999999998</v>
      </c>
      <c r="F202" s="2">
        <v>25.03</v>
      </c>
      <c r="G202" s="2">
        <v>25.184999999999999</v>
      </c>
      <c r="H202" s="2">
        <v>4269794</v>
      </c>
      <c r="I202" s="2">
        <v>25.184999999999999</v>
      </c>
      <c r="J202" s="2">
        <f t="shared" si="18"/>
        <v>1.1242722344910564E-2</v>
      </c>
      <c r="K202" s="2">
        <f t="shared" si="19"/>
        <v>-3.9676176009077338E-3</v>
      </c>
      <c r="L202" s="2">
        <f t="shared" si="20"/>
        <v>1.5210339945818298E-2</v>
      </c>
      <c r="M202" s="2">
        <f t="shared" si="21"/>
        <v>1.6800649290124217E-3</v>
      </c>
      <c r="N202" s="2">
        <f t="shared" si="22"/>
        <v>0.11045544905617401</v>
      </c>
      <c r="O202" s="2">
        <f t="shared" si="23"/>
        <v>-0.42068556500941745</v>
      </c>
    </row>
    <row r="203" spans="1:15">
      <c r="A203" s="1" t="s">
        <v>0</v>
      </c>
      <c r="B203" s="16">
        <v>43329</v>
      </c>
      <c r="D203" s="2">
        <v>25.2</v>
      </c>
      <c r="E203" s="2">
        <v>25.27</v>
      </c>
      <c r="F203" s="2">
        <v>24.515000000000001</v>
      </c>
      <c r="G203" s="2">
        <v>25.004999999999999</v>
      </c>
      <c r="H203" s="2">
        <v>4282770</v>
      </c>
      <c r="I203" s="2">
        <v>25.004999999999999</v>
      </c>
      <c r="J203" s="2">
        <f t="shared" si="18"/>
        <v>-7.1471113758189292E-3</v>
      </c>
      <c r="K203" s="2">
        <f t="shared" si="19"/>
        <v>9.3692242808120609E-4</v>
      </c>
      <c r="L203" s="2">
        <f t="shared" si="20"/>
        <v>-8.0840338039001348E-3</v>
      </c>
      <c r="M203" s="2">
        <f t="shared" si="21"/>
        <v>1.6800649289134052E-3</v>
      </c>
      <c r="N203" s="2">
        <f t="shared" si="22"/>
        <v>-0.20782507466790395</v>
      </c>
      <c r="O203" s="2">
        <f t="shared" si="23"/>
        <v>-0.40121171338203049</v>
      </c>
    </row>
    <row r="204" spans="1:15">
      <c r="A204" s="1" t="s">
        <v>0</v>
      </c>
      <c r="B204" s="16">
        <v>43332</v>
      </c>
      <c r="D204" s="2">
        <v>25.5</v>
      </c>
      <c r="E204" s="2">
        <v>25.87</v>
      </c>
      <c r="F204" s="2">
        <v>25.475000000000001</v>
      </c>
      <c r="G204" s="2">
        <v>25.635000000000002</v>
      </c>
      <c r="H204" s="2">
        <v>4382932</v>
      </c>
      <c r="I204" s="2">
        <v>25.635000000000002</v>
      </c>
      <c r="J204" s="2">
        <f t="shared" si="18"/>
        <v>2.5194961007798545E-2</v>
      </c>
      <c r="K204" s="2">
        <f t="shared" si="19"/>
        <v>-5.9561098625106616E-4</v>
      </c>
      <c r="L204" s="2">
        <f t="shared" si="20"/>
        <v>2.5790571994049612E-2</v>
      </c>
      <c r="M204" s="2">
        <f t="shared" si="21"/>
        <v>1.6800649292711717E-3</v>
      </c>
      <c r="N204" s="2">
        <f t="shared" si="22"/>
        <v>6.5142600546385529E-2</v>
      </c>
      <c r="O204" s="2">
        <f t="shared" si="23"/>
        <v>-0.41379049381921318</v>
      </c>
    </row>
    <row r="205" spans="1:15">
      <c r="A205" s="1" t="s">
        <v>0</v>
      </c>
      <c r="B205" s="16">
        <v>43333</v>
      </c>
      <c r="D205" s="2">
        <v>25.725000000000001</v>
      </c>
      <c r="E205" s="2">
        <v>26.06</v>
      </c>
      <c r="F205" s="2">
        <v>25.54</v>
      </c>
      <c r="G205" s="2">
        <v>25.94</v>
      </c>
      <c r="H205" s="2">
        <v>3530746</v>
      </c>
      <c r="I205" s="2">
        <v>25.94</v>
      </c>
      <c r="J205" s="2">
        <f t="shared" si="18"/>
        <v>1.1897795982055771E-2</v>
      </c>
      <c r="K205" s="2">
        <f t="shared" si="19"/>
        <v>2.0996448474531553E-3</v>
      </c>
      <c r="L205" s="2">
        <f t="shared" si="20"/>
        <v>9.7981511346026152E-3</v>
      </c>
      <c r="M205" s="2">
        <f t="shared" si="21"/>
        <v>1.6800649289316885E-3</v>
      </c>
      <c r="N205" s="2">
        <f t="shared" si="22"/>
        <v>0.17146754585142732</v>
      </c>
      <c r="O205" s="2">
        <f t="shared" si="23"/>
        <v>-29.42533991101558</v>
      </c>
    </row>
    <row r="206" spans="1:15">
      <c r="A206" s="1" t="s">
        <v>0</v>
      </c>
      <c r="B206" s="16">
        <v>43334</v>
      </c>
      <c r="D206" s="2">
        <v>25.74</v>
      </c>
      <c r="E206" s="2">
        <v>26.08</v>
      </c>
      <c r="F206" s="2">
        <v>25.68</v>
      </c>
      <c r="G206" s="2">
        <v>25.96</v>
      </c>
      <c r="H206" s="2">
        <v>4161620</v>
      </c>
      <c r="I206" s="2">
        <v>25.96</v>
      </c>
      <c r="J206" s="2">
        <f t="shared" si="18"/>
        <v>7.7101002313028418E-4</v>
      </c>
      <c r="K206" s="2">
        <f t="shared" si="19"/>
        <v>9.915135817054803E-4</v>
      </c>
      <c r="L206" s="2">
        <f t="shared" si="20"/>
        <v>-2.2050355857519612E-4</v>
      </c>
      <c r="M206" s="2">
        <f t="shared" si="21"/>
        <v>1.6800649288744537E-3</v>
      </c>
      <c r="N206" s="2">
        <f t="shared" si="22"/>
        <v>-7.6192191170534693</v>
      </c>
      <c r="O206" s="2">
        <f t="shared" si="23"/>
        <v>-0.40545136841203344</v>
      </c>
    </row>
    <row r="207" spans="1:15">
      <c r="A207" s="1" t="s">
        <v>0</v>
      </c>
      <c r="B207" s="16">
        <v>43335</v>
      </c>
      <c r="D207" s="2">
        <v>25.87</v>
      </c>
      <c r="E207" s="2">
        <v>25.954999999999998</v>
      </c>
      <c r="F207" s="2">
        <v>25.574999999999999</v>
      </c>
      <c r="G207" s="2">
        <v>25.574999999999999</v>
      </c>
      <c r="H207" s="2">
        <v>3439649</v>
      </c>
      <c r="I207" s="2">
        <v>25.574999999999999</v>
      </c>
      <c r="J207" s="2">
        <f t="shared" si="18"/>
        <v>-1.4830508474576331E-2</v>
      </c>
      <c r="K207" s="2">
        <f t="shared" si="19"/>
        <v>6.4252817136694945E-5</v>
      </c>
      <c r="L207" s="2">
        <f t="shared" si="20"/>
        <v>-1.4894761291713025E-2</v>
      </c>
      <c r="M207" s="2">
        <f t="shared" si="21"/>
        <v>1.6800649290067548E-3</v>
      </c>
      <c r="N207" s="2">
        <f t="shared" si="22"/>
        <v>-0.11279569347254259</v>
      </c>
      <c r="O207" s="2">
        <f t="shared" si="23"/>
        <v>-0.40133233482062264</v>
      </c>
    </row>
    <row r="208" spans="1:15">
      <c r="A208" s="1" t="s">
        <v>0</v>
      </c>
      <c r="B208" s="16">
        <v>43336</v>
      </c>
      <c r="D208" s="2">
        <v>25.55</v>
      </c>
      <c r="E208" s="2">
        <v>26.254999999999999</v>
      </c>
      <c r="F208" s="2">
        <v>25.51</v>
      </c>
      <c r="G208" s="2">
        <v>26.184999999999999</v>
      </c>
      <c r="H208" s="2">
        <v>4430224</v>
      </c>
      <c r="I208" s="2">
        <v>26.184999999999999</v>
      </c>
      <c r="J208" s="2">
        <f t="shared" si="18"/>
        <v>2.3851417399804474E-2</v>
      </c>
      <c r="K208" s="2">
        <f t="shared" si="19"/>
        <v>-1.2359138279323481E-3</v>
      </c>
      <c r="L208" s="2">
        <f t="shared" si="20"/>
        <v>2.5087331227736823E-2</v>
      </c>
      <c r="M208" s="2">
        <f t="shared" si="21"/>
        <v>1.6800649292498301E-3</v>
      </c>
      <c r="N208" s="2">
        <f t="shared" si="22"/>
        <v>6.6968658961712599E-2</v>
      </c>
      <c r="O208" s="2">
        <f t="shared" si="23"/>
        <v>-0.6432641230360393</v>
      </c>
    </row>
    <row r="209" spans="1:15">
      <c r="A209" s="1" t="s">
        <v>0</v>
      </c>
      <c r="B209" s="16">
        <v>43339</v>
      </c>
      <c r="D209" s="2">
        <v>26.35</v>
      </c>
      <c r="E209" s="2">
        <v>26.414999999999999</v>
      </c>
      <c r="F209" s="2">
        <v>25.97</v>
      </c>
      <c r="G209" s="2">
        <v>26.3</v>
      </c>
      <c r="H209" s="2">
        <v>3402393</v>
      </c>
      <c r="I209" s="2">
        <v>26.3</v>
      </c>
      <c r="J209" s="2">
        <f t="shared" si="18"/>
        <v>4.3918273820890584E-3</v>
      </c>
      <c r="K209" s="2">
        <f t="shared" si="19"/>
        <v>1.9876794265509278E-3</v>
      </c>
      <c r="L209" s="2">
        <f t="shared" si="20"/>
        <v>2.4041479555381305E-3</v>
      </c>
      <c r="M209" s="2">
        <f t="shared" si="21"/>
        <v>1.6800649288778722E-3</v>
      </c>
      <c r="N209" s="2">
        <f t="shared" si="22"/>
        <v>0.69881927400005472</v>
      </c>
      <c r="O209" s="2">
        <f t="shared" si="23"/>
        <v>-0.42013478979842089</v>
      </c>
    </row>
    <row r="210" spans="1:15">
      <c r="A210" s="1" t="s">
        <v>0</v>
      </c>
      <c r="B210" s="16">
        <v>43340</v>
      </c>
      <c r="D210" s="2">
        <v>26.46</v>
      </c>
      <c r="E210" s="2">
        <v>26.77</v>
      </c>
      <c r="F210" s="2">
        <v>26.44</v>
      </c>
      <c r="G210" s="2">
        <v>26.524999999999999</v>
      </c>
      <c r="H210" s="2">
        <v>3949998</v>
      </c>
      <c r="I210" s="2">
        <v>26.524999999999999</v>
      </c>
      <c r="J210" s="2">
        <f t="shared" si="18"/>
        <v>8.5551330798478275E-3</v>
      </c>
      <c r="K210" s="2">
        <f t="shared" si="19"/>
        <v>3.6599690433546328E-4</v>
      </c>
      <c r="L210" s="2">
        <f t="shared" si="20"/>
        <v>8.1891361755123647E-3</v>
      </c>
      <c r="M210" s="2">
        <f t="shared" si="21"/>
        <v>1.6800649289144254E-3</v>
      </c>
      <c r="N210" s="2">
        <f t="shared" si="22"/>
        <v>0.20515777157769755</v>
      </c>
      <c r="O210" s="2">
        <f t="shared" si="23"/>
        <v>-8.4741829255651737</v>
      </c>
    </row>
    <row r="211" spans="1:15">
      <c r="A211" s="1" t="s">
        <v>0</v>
      </c>
      <c r="B211" s="16">
        <v>43341</v>
      </c>
      <c r="D211" s="2">
        <v>26.5</v>
      </c>
      <c r="E211" s="2">
        <v>26.645</v>
      </c>
      <c r="F211" s="2">
        <v>26.3</v>
      </c>
      <c r="G211" s="2">
        <v>26.555</v>
      </c>
      <c r="H211" s="2">
        <v>2506312</v>
      </c>
      <c r="I211" s="2">
        <v>26.555</v>
      </c>
      <c r="J211" s="2">
        <f t="shared" si="18"/>
        <v>1.1310084825636622E-3</v>
      </c>
      <c r="K211" s="2">
        <f t="shared" si="19"/>
        <v>7.1294974756335458E-4</v>
      </c>
      <c r="L211" s="2">
        <f t="shared" si="20"/>
        <v>4.1805873500030759E-4</v>
      </c>
      <c r="M211" s="2">
        <f t="shared" si="21"/>
        <v>1.6800649288745289E-3</v>
      </c>
      <c r="N211" s="2">
        <f t="shared" si="22"/>
        <v>4.0187293990479418</v>
      </c>
      <c r="O211" s="2">
        <f t="shared" si="23"/>
        <v>-0.40709913803820835</v>
      </c>
    </row>
    <row r="212" spans="1:15">
      <c r="A212" s="1" t="s">
        <v>0</v>
      </c>
      <c r="B212" s="16">
        <v>43342</v>
      </c>
      <c r="D212" s="2">
        <v>26.42</v>
      </c>
      <c r="E212" s="2">
        <v>26.625</v>
      </c>
      <c r="F212" s="2">
        <v>26.094999999999999</v>
      </c>
      <c r="G212" s="2">
        <v>26.204999999999998</v>
      </c>
      <c r="H212" s="2">
        <v>3515680</v>
      </c>
      <c r="I212" s="2">
        <v>26.204999999999998</v>
      </c>
      <c r="J212" s="2">
        <f t="shared" si="18"/>
        <v>-1.318019205422713E-2</v>
      </c>
      <c r="K212" s="2">
        <f t="shared" si="19"/>
        <v>9.425361412964935E-5</v>
      </c>
      <c r="L212" s="2">
        <f t="shared" si="20"/>
        <v>-1.3274445668356779E-2</v>
      </c>
      <c r="M212" s="2">
        <f t="shared" si="21"/>
        <v>1.68006492897953E-3</v>
      </c>
      <c r="N212" s="2">
        <f t="shared" si="22"/>
        <v>-0.1265638483861076</v>
      </c>
      <c r="O212" s="2">
        <f t="shared" si="23"/>
        <v>-0.416458687676446</v>
      </c>
    </row>
    <row r="213" spans="1:15">
      <c r="A213" s="1" t="s">
        <v>0</v>
      </c>
      <c r="B213" s="16">
        <v>43343</v>
      </c>
      <c r="D213" s="2">
        <v>26.03</v>
      </c>
      <c r="E213" s="2">
        <v>26.16</v>
      </c>
      <c r="F213" s="2">
        <v>25.64</v>
      </c>
      <c r="G213" s="2">
        <v>25.94</v>
      </c>
      <c r="H213" s="2">
        <v>3336681</v>
      </c>
      <c r="I213" s="2">
        <v>25.94</v>
      </c>
      <c r="J213" s="2">
        <f t="shared" si="18"/>
        <v>-1.0112573936271591E-2</v>
      </c>
      <c r="K213" s="2">
        <f t="shared" si="19"/>
        <v>-1.0983832174431714E-3</v>
      </c>
      <c r="L213" s="2">
        <f t="shared" si="20"/>
        <v>-9.0141907188284204E-3</v>
      </c>
      <c r="M213" s="2">
        <f t="shared" si="21"/>
        <v>1.6800649289228915E-3</v>
      </c>
      <c r="N213" s="2">
        <f t="shared" si="22"/>
        <v>-0.18638000696098544</v>
      </c>
      <c r="O213" s="2">
        <f t="shared" si="23"/>
        <v>-7.14968869912546</v>
      </c>
    </row>
    <row r="214" spans="1:15">
      <c r="A214" s="1" t="s">
        <v>0</v>
      </c>
      <c r="B214" s="16">
        <v>43346</v>
      </c>
      <c r="D214" s="2">
        <v>25.8</v>
      </c>
      <c r="E214" s="2">
        <v>26.055</v>
      </c>
      <c r="F214" s="2">
        <v>25.8</v>
      </c>
      <c r="G214" s="2">
        <v>25.93</v>
      </c>
      <c r="H214" s="2">
        <v>1842184</v>
      </c>
      <c r="I214" s="2">
        <v>25.93</v>
      </c>
      <c r="J214" s="2">
        <f t="shared" si="18"/>
        <v>-3.8550501156521061E-4</v>
      </c>
      <c r="K214" s="2">
        <f t="shared" si="19"/>
        <v>-8.4274048898942808E-4</v>
      </c>
      <c r="L214" s="2">
        <f t="shared" si="20"/>
        <v>4.5723547742421746E-4</v>
      </c>
      <c r="M214" s="2">
        <f t="shared" si="21"/>
        <v>1.6800649288745493E-3</v>
      </c>
      <c r="N214" s="2">
        <f t="shared" si="22"/>
        <v>3.6743975737381502</v>
      </c>
      <c r="O214" s="2">
        <f t="shared" si="23"/>
        <v>-0.40187062809642365</v>
      </c>
    </row>
    <row r="215" spans="1:15">
      <c r="A215" s="1" t="s">
        <v>0</v>
      </c>
      <c r="B215" s="16">
        <v>43347</v>
      </c>
      <c r="D215" s="2">
        <v>25.97</v>
      </c>
      <c r="E215" s="2">
        <v>26.15</v>
      </c>
      <c r="F215" s="2">
        <v>25.195</v>
      </c>
      <c r="G215" s="2">
        <v>25.344999999999999</v>
      </c>
      <c r="H215" s="2">
        <v>3607101</v>
      </c>
      <c r="I215" s="2">
        <v>25.344999999999999</v>
      </c>
      <c r="J215" s="2">
        <f t="shared" si="18"/>
        <v>-2.2560740455071379E-2</v>
      </c>
      <c r="K215" s="2">
        <f t="shared" si="19"/>
        <v>-3.2126408568353185E-5</v>
      </c>
      <c r="L215" s="2">
        <f t="shared" si="20"/>
        <v>-2.2528614046503026E-2</v>
      </c>
      <c r="M215" s="2">
        <f t="shared" si="21"/>
        <v>1.6800649291771584E-3</v>
      </c>
      <c r="N215" s="2">
        <f t="shared" si="22"/>
        <v>-7.4574713105262869E-2</v>
      </c>
      <c r="O215" s="2">
        <f t="shared" si="23"/>
        <v>-0.40342416926627733</v>
      </c>
    </row>
    <row r="216" spans="1:15">
      <c r="A216" s="1" t="s">
        <v>0</v>
      </c>
      <c r="B216" s="16">
        <v>43348</v>
      </c>
      <c r="D216" s="2">
        <v>25.15</v>
      </c>
      <c r="E216" s="2">
        <v>25.18</v>
      </c>
      <c r="F216" s="2">
        <v>24.625</v>
      </c>
      <c r="G216" s="2">
        <v>24.84</v>
      </c>
      <c r="H216" s="2">
        <v>6754327</v>
      </c>
      <c r="I216" s="2">
        <v>24.84</v>
      </c>
      <c r="J216" s="2">
        <f t="shared" si="18"/>
        <v>-1.9925034523574633E-2</v>
      </c>
      <c r="K216" s="2">
        <f t="shared" si="19"/>
        <v>-1.8801196968138343E-3</v>
      </c>
      <c r="L216" s="2">
        <f t="shared" si="20"/>
        <v>-1.8044914826760797E-2</v>
      </c>
      <c r="M216" s="2">
        <f t="shared" si="21"/>
        <v>1.680064929068648E-3</v>
      </c>
      <c r="N216" s="2">
        <f t="shared" si="22"/>
        <v>-9.3104619511813605E-2</v>
      </c>
      <c r="O216" s="2">
        <f t="shared" si="23"/>
        <v>-0.52323091602285787</v>
      </c>
    </row>
    <row r="217" spans="1:15">
      <c r="A217" s="1" t="s">
        <v>0</v>
      </c>
      <c r="B217" s="16">
        <v>43349</v>
      </c>
      <c r="D217" s="2">
        <v>24.8</v>
      </c>
      <c r="E217" s="2">
        <v>25.324999999999999</v>
      </c>
      <c r="F217" s="2">
        <v>24.66</v>
      </c>
      <c r="G217" s="2">
        <v>24.715</v>
      </c>
      <c r="H217" s="2">
        <v>4225605</v>
      </c>
      <c r="I217" s="2">
        <v>24.715</v>
      </c>
      <c r="J217" s="2">
        <f t="shared" si="18"/>
        <v>-5.0322061191626407E-3</v>
      </c>
      <c r="K217" s="2">
        <f t="shared" si="19"/>
        <v>-1.6604707607922259E-3</v>
      </c>
      <c r="L217" s="2">
        <f t="shared" si="20"/>
        <v>-3.3717353583704148E-3</v>
      </c>
      <c r="M217" s="2">
        <f t="shared" si="21"/>
        <v>1.6800649288812057E-3</v>
      </c>
      <c r="N217" s="2">
        <f t="shared" si="22"/>
        <v>-0.49827900185297869</v>
      </c>
      <c r="O217" s="2">
        <f t="shared" si="23"/>
        <v>-0.43480400907336986</v>
      </c>
    </row>
    <row r="218" spans="1:15">
      <c r="A218" s="1" t="s">
        <v>0</v>
      </c>
      <c r="B218" s="16">
        <v>43350</v>
      </c>
      <c r="D218" s="2">
        <v>24.96</v>
      </c>
      <c r="E218" s="2">
        <v>25.1</v>
      </c>
      <c r="F218" s="2">
        <v>24.684999999999999</v>
      </c>
      <c r="G218" s="2">
        <v>24.86</v>
      </c>
      <c r="H218" s="2">
        <v>4352418</v>
      </c>
      <c r="I218" s="2">
        <v>24.86</v>
      </c>
      <c r="J218" s="2">
        <f t="shared" si="18"/>
        <v>5.8668824600444898E-3</v>
      </c>
      <c r="K218" s="2">
        <f t="shared" si="19"/>
        <v>-4.1936344518063169E-4</v>
      </c>
      <c r="L218" s="2">
        <f t="shared" si="20"/>
        <v>6.2862459052251216E-3</v>
      </c>
      <c r="M218" s="2">
        <f t="shared" si="21"/>
        <v>1.6800649288979954E-3</v>
      </c>
      <c r="N218" s="2">
        <f t="shared" si="22"/>
        <v>0.26726045309514967</v>
      </c>
      <c r="O218" s="2">
        <f t="shared" si="23"/>
        <v>-0.4389932283946536</v>
      </c>
    </row>
    <row r="219" spans="1:15">
      <c r="A219" s="1" t="s">
        <v>0</v>
      </c>
      <c r="B219" s="16">
        <v>43353</v>
      </c>
      <c r="D219" s="2">
        <v>24.9</v>
      </c>
      <c r="E219" s="2">
        <v>25.12</v>
      </c>
      <c r="F219" s="2">
        <v>24.51</v>
      </c>
      <c r="G219" s="2">
        <v>25.02</v>
      </c>
      <c r="H219" s="2">
        <v>3928322</v>
      </c>
      <c r="I219" s="2">
        <v>25.02</v>
      </c>
      <c r="J219" s="2">
        <f t="shared" si="18"/>
        <v>6.4360418342719284E-3</v>
      </c>
      <c r="K219" s="2">
        <f t="shared" si="19"/>
        <v>4.8892195245044535E-4</v>
      </c>
      <c r="L219" s="2">
        <f t="shared" si="20"/>
        <v>5.9471198818214829E-3</v>
      </c>
      <c r="M219" s="2">
        <f t="shared" si="21"/>
        <v>1.6800649288955208E-3</v>
      </c>
      <c r="N219" s="2">
        <f t="shared" si="22"/>
        <v>0.28250059899262547</v>
      </c>
      <c r="O219" s="2">
        <f t="shared" si="23"/>
        <v>-0.40250777824236028</v>
      </c>
    </row>
    <row r="220" spans="1:15">
      <c r="A220" s="1" t="s">
        <v>0</v>
      </c>
      <c r="B220" s="16">
        <v>43354</v>
      </c>
      <c r="D220" s="2">
        <v>24.254999999999999</v>
      </c>
      <c r="E220" s="2">
        <v>24.565000000000001</v>
      </c>
      <c r="F220" s="2">
        <v>24.1</v>
      </c>
      <c r="G220" s="2">
        <v>24.524999999999999</v>
      </c>
      <c r="H220" s="2">
        <v>7769033</v>
      </c>
      <c r="I220" s="2">
        <v>24.524999999999999</v>
      </c>
      <c r="J220" s="2">
        <f t="shared" si="18"/>
        <v>-1.9784172661870544E-2</v>
      </c>
      <c r="K220" s="2">
        <f t="shared" si="19"/>
        <v>5.3635336332289753E-4</v>
      </c>
      <c r="L220" s="2">
        <f t="shared" si="20"/>
        <v>-2.032052602519344E-2</v>
      </c>
      <c r="M220" s="2">
        <f t="shared" si="21"/>
        <v>1.6800649291207231E-3</v>
      </c>
      <c r="N220" s="2">
        <f t="shared" si="22"/>
        <v>-8.2678220388476872E-2</v>
      </c>
      <c r="O220" s="2">
        <f t="shared" si="23"/>
        <v>-0.40089672312565844</v>
      </c>
    </row>
    <row r="221" spans="1:15">
      <c r="A221" s="1" t="s">
        <v>0</v>
      </c>
      <c r="B221" s="16">
        <v>43355</v>
      </c>
      <c r="D221" s="2">
        <v>24.625</v>
      </c>
      <c r="E221" s="2">
        <v>25.215</v>
      </c>
      <c r="F221" s="2">
        <v>24.585000000000001</v>
      </c>
      <c r="G221" s="2">
        <v>25.17</v>
      </c>
      <c r="H221" s="2">
        <v>5220027</v>
      </c>
      <c r="I221" s="2">
        <v>25.17</v>
      </c>
      <c r="J221" s="2">
        <f t="shared" si="18"/>
        <v>2.6299694189602575E-2</v>
      </c>
      <c r="K221" s="2">
        <f t="shared" si="19"/>
        <v>-1.6487319102324611E-3</v>
      </c>
      <c r="L221" s="2">
        <f t="shared" si="20"/>
        <v>2.7948426099835035E-2</v>
      </c>
      <c r="M221" s="2">
        <f t="shared" si="21"/>
        <v>1.6800649293403393E-3</v>
      </c>
      <c r="N221" s="2">
        <f t="shared" si="22"/>
        <v>6.0113042621396696E-2</v>
      </c>
      <c r="O221" s="2">
        <f t="shared" si="23"/>
        <v>-0.40281130907222806</v>
      </c>
    </row>
    <row r="222" spans="1:15">
      <c r="A222" s="1" t="s">
        <v>0</v>
      </c>
      <c r="B222" s="16">
        <v>43356</v>
      </c>
      <c r="D222" s="2">
        <v>25.3</v>
      </c>
      <c r="E222" s="2">
        <v>25.414999999999999</v>
      </c>
      <c r="F222" s="2">
        <v>24.56</v>
      </c>
      <c r="G222" s="2">
        <v>24.734999999999999</v>
      </c>
      <c r="H222" s="2">
        <v>4888982</v>
      </c>
      <c r="I222" s="2">
        <v>24.734999999999999</v>
      </c>
      <c r="J222" s="2">
        <f t="shared" si="18"/>
        <v>-1.7282479141835609E-2</v>
      </c>
      <c r="K222" s="2">
        <f t="shared" si="19"/>
        <v>2.1917087856456931E-3</v>
      </c>
      <c r="L222" s="2">
        <f t="shared" si="20"/>
        <v>-1.9474187927481304E-2</v>
      </c>
      <c r="M222" s="2">
        <f t="shared" si="21"/>
        <v>1.6800649291006339E-3</v>
      </c>
      <c r="N222" s="2">
        <f t="shared" si="22"/>
        <v>-8.6271372924864503E-2</v>
      </c>
      <c r="O222" s="2">
        <f t="shared" si="23"/>
        <v>-0.40397034757266537</v>
      </c>
    </row>
    <row r="223" spans="1:15">
      <c r="A223" s="1" t="s">
        <v>0</v>
      </c>
      <c r="B223" s="16">
        <v>43357</v>
      </c>
      <c r="D223" s="2">
        <v>24.995000000000001</v>
      </c>
      <c r="E223" s="2">
        <v>25.15</v>
      </c>
      <c r="F223" s="2">
        <v>24.864999999999998</v>
      </c>
      <c r="G223" s="2">
        <v>25.12</v>
      </c>
      <c r="H223" s="2">
        <v>3405204</v>
      </c>
      <c r="I223" s="2">
        <v>25.12</v>
      </c>
      <c r="J223" s="2">
        <f t="shared" si="18"/>
        <v>1.5564988882150863E-2</v>
      </c>
      <c r="K223" s="2">
        <f t="shared" si="19"/>
        <v>-1.440251019643964E-3</v>
      </c>
      <c r="L223" s="2">
        <f t="shared" si="20"/>
        <v>1.7005239901794828E-2</v>
      </c>
      <c r="M223" s="2">
        <f t="shared" si="21"/>
        <v>1.6800649290469119E-3</v>
      </c>
      <c r="N223" s="2">
        <f t="shared" si="22"/>
        <v>9.8796896647696711E-2</v>
      </c>
      <c r="O223" s="2">
        <f t="shared" si="23"/>
        <v>-0.40299714593441821</v>
      </c>
    </row>
    <row r="224" spans="1:15">
      <c r="A224" s="1" t="s">
        <v>0</v>
      </c>
      <c r="B224" s="16">
        <v>43360</v>
      </c>
      <c r="D224" s="2">
        <v>24.9</v>
      </c>
      <c r="E224" s="2">
        <v>25.815000000000001</v>
      </c>
      <c r="F224" s="2">
        <v>24.9</v>
      </c>
      <c r="G224" s="2">
        <v>25.63</v>
      </c>
      <c r="H224" s="2">
        <v>5001860</v>
      </c>
      <c r="I224" s="2">
        <v>25.63</v>
      </c>
      <c r="J224" s="2">
        <f t="shared" si="18"/>
        <v>2.0302547770700556E-2</v>
      </c>
      <c r="K224" s="2">
        <f t="shared" si="19"/>
        <v>1.2971224165402773E-3</v>
      </c>
      <c r="L224" s="2">
        <f t="shared" si="20"/>
        <v>1.900542535416028E-2</v>
      </c>
      <c r="M224" s="2">
        <f t="shared" si="21"/>
        <v>1.6800649290898747E-3</v>
      </c>
      <c r="N224" s="2">
        <f t="shared" si="22"/>
        <v>8.8399227998446725E-2</v>
      </c>
      <c r="O224" s="2">
        <f t="shared" si="23"/>
        <v>-0.4131661156286528</v>
      </c>
    </row>
    <row r="225" spans="1:15">
      <c r="A225" s="1" t="s">
        <v>0</v>
      </c>
      <c r="B225" s="16">
        <v>43361</v>
      </c>
      <c r="D225" s="2">
        <v>25.704999999999998</v>
      </c>
      <c r="E225" s="2">
        <v>26.03</v>
      </c>
      <c r="F225" s="2">
        <v>25.63</v>
      </c>
      <c r="G225" s="2">
        <v>25.93</v>
      </c>
      <c r="H225" s="2">
        <v>6052503</v>
      </c>
      <c r="I225" s="2">
        <v>25.93</v>
      </c>
      <c r="J225" s="2">
        <f t="shared" si="18"/>
        <v>1.1705033164260661E-2</v>
      </c>
      <c r="K225" s="2">
        <f t="shared" si="19"/>
        <v>1.6919311684478642E-3</v>
      </c>
      <c r="L225" s="2">
        <f t="shared" si="20"/>
        <v>1.0013101995812797E-2</v>
      </c>
      <c r="M225" s="2">
        <f t="shared" si="21"/>
        <v>1.6800649289342284E-3</v>
      </c>
      <c r="N225" s="2">
        <f t="shared" si="22"/>
        <v>0.16778665888320973</v>
      </c>
      <c r="O225" s="2">
        <f t="shared" si="23"/>
        <v>-0.4000489751846143</v>
      </c>
    </row>
    <row r="226" spans="1:15">
      <c r="A226" s="1" t="s">
        <v>0</v>
      </c>
      <c r="B226" s="16">
        <v>43362</v>
      </c>
      <c r="D226" s="2">
        <v>26.405000000000001</v>
      </c>
      <c r="E226" s="2">
        <v>27.135000000000002</v>
      </c>
      <c r="F226" s="2">
        <v>26.21</v>
      </c>
      <c r="G226" s="2">
        <v>26.95</v>
      </c>
      <c r="H226" s="2">
        <v>6544507</v>
      </c>
      <c r="I226" s="2">
        <v>26.95</v>
      </c>
      <c r="J226" s="2">
        <f t="shared" si="18"/>
        <v>3.9336675665252584E-2</v>
      </c>
      <c r="K226" s="2">
        <f t="shared" si="19"/>
        <v>9.7544951806042147E-4</v>
      </c>
      <c r="L226" s="2">
        <f t="shared" si="20"/>
        <v>3.836122614719216E-2</v>
      </c>
      <c r="M226" s="2">
        <f t="shared" si="21"/>
        <v>1.6800649297521863E-3</v>
      </c>
      <c r="N226" s="2">
        <f t="shared" si="22"/>
        <v>4.3795913178212062E-2</v>
      </c>
      <c r="O226" s="2">
        <f t="shared" si="23"/>
        <v>-0.40840895095022256</v>
      </c>
    </row>
    <row r="227" spans="1:15">
      <c r="A227" s="1" t="s">
        <v>0</v>
      </c>
      <c r="B227" s="16">
        <v>43363</v>
      </c>
      <c r="D227" s="2">
        <v>26.8</v>
      </c>
      <c r="E227" s="2">
        <v>27.655000000000001</v>
      </c>
      <c r="F227" s="2">
        <v>26.8</v>
      </c>
      <c r="G227" s="2">
        <v>27.37</v>
      </c>
      <c r="H227" s="2">
        <v>8877892</v>
      </c>
      <c r="I227" s="2">
        <v>27.37</v>
      </c>
      <c r="J227" s="2">
        <f t="shared" si="18"/>
        <v>1.5584415584415649E-2</v>
      </c>
      <c r="K227" s="2">
        <f t="shared" si="19"/>
        <v>3.2781574200856536E-3</v>
      </c>
      <c r="L227" s="2">
        <f t="shared" si="20"/>
        <v>1.2306258164329995E-2</v>
      </c>
      <c r="M227" s="2">
        <f t="shared" si="21"/>
        <v>1.6800649289647571E-3</v>
      </c>
      <c r="N227" s="2">
        <f t="shared" si="22"/>
        <v>0.13652118349300266</v>
      </c>
      <c r="O227" s="2">
        <f t="shared" si="23"/>
        <v>-0.47979744670913871</v>
      </c>
    </row>
    <row r="228" spans="1:15">
      <c r="A228" s="1" t="s">
        <v>0</v>
      </c>
      <c r="B228" s="16">
        <v>43364</v>
      </c>
      <c r="D228" s="2">
        <v>27.754999999999999</v>
      </c>
      <c r="E228" s="2">
        <v>27.954999999999998</v>
      </c>
      <c r="F228" s="2">
        <v>27.36</v>
      </c>
      <c r="G228" s="2">
        <v>27.52</v>
      </c>
      <c r="H228" s="2">
        <v>7373988</v>
      </c>
      <c r="I228" s="2">
        <v>27.52</v>
      </c>
      <c r="J228" s="2">
        <f t="shared" si="18"/>
        <v>5.4804530507854797E-3</v>
      </c>
      <c r="K228" s="2">
        <f t="shared" si="19"/>
        <v>1.2987413583318776E-3</v>
      </c>
      <c r="L228" s="2">
        <f t="shared" si="20"/>
        <v>4.1817116924536026E-3</v>
      </c>
      <c r="M228" s="2">
        <f t="shared" si="21"/>
        <v>1.6800649288848549E-3</v>
      </c>
      <c r="N228" s="2">
        <f t="shared" si="22"/>
        <v>0.40176488778906788</v>
      </c>
      <c r="O228" s="2">
        <f t="shared" si="23"/>
        <v>-0.41520129305719883</v>
      </c>
    </row>
    <row r="229" spans="1:15">
      <c r="A229" s="1" t="s">
        <v>0</v>
      </c>
      <c r="B229" s="16">
        <v>43367</v>
      </c>
      <c r="D229" s="2">
        <v>27.204999999999998</v>
      </c>
      <c r="E229" s="2">
        <v>27.484999999999999</v>
      </c>
      <c r="F229" s="2">
        <v>26.945</v>
      </c>
      <c r="G229" s="2">
        <v>27.274999999999999</v>
      </c>
      <c r="H229" s="2">
        <v>4323965</v>
      </c>
      <c r="I229" s="2">
        <v>27.274999999999999</v>
      </c>
      <c r="J229" s="2">
        <f t="shared" si="18"/>
        <v>-8.9026162790698041E-3</v>
      </c>
      <c r="K229" s="2">
        <f t="shared" si="19"/>
        <v>4.5671850836478451E-4</v>
      </c>
      <c r="L229" s="2">
        <f t="shared" si="20"/>
        <v>-9.3593347874345884E-3</v>
      </c>
      <c r="M229" s="2">
        <f t="shared" si="21"/>
        <v>1.6800649289266741E-3</v>
      </c>
      <c r="N229" s="2">
        <f t="shared" si="22"/>
        <v>-0.17950687384131742</v>
      </c>
      <c r="O229" s="2">
        <f t="shared" si="23"/>
        <v>-0.40404661975790618</v>
      </c>
    </row>
    <row r="230" spans="1:15">
      <c r="A230" s="1" t="s">
        <v>0</v>
      </c>
      <c r="B230" s="16">
        <v>43368</v>
      </c>
      <c r="D230" s="2">
        <v>27.11</v>
      </c>
      <c r="E230" s="2">
        <v>27.815000000000001</v>
      </c>
      <c r="F230" s="2">
        <v>27.05</v>
      </c>
      <c r="G230" s="2">
        <v>27.715</v>
      </c>
      <c r="H230" s="2">
        <v>4472304</v>
      </c>
      <c r="I230" s="2">
        <v>27.715</v>
      </c>
      <c r="J230" s="2">
        <f t="shared" si="18"/>
        <v>1.6131989000916638E-2</v>
      </c>
      <c r="K230" s="2">
        <f t="shared" si="19"/>
        <v>-7.4190757403497058E-4</v>
      </c>
      <c r="L230" s="2">
        <f t="shared" si="20"/>
        <v>1.6873896574951606E-2</v>
      </c>
      <c r="M230" s="2">
        <f t="shared" si="21"/>
        <v>1.6800649290442578E-3</v>
      </c>
      <c r="N230" s="2">
        <f t="shared" si="22"/>
        <v>9.9565913633619399E-2</v>
      </c>
      <c r="O230" s="2">
        <f t="shared" si="23"/>
        <v>-0.40489173968915976</v>
      </c>
    </row>
    <row r="231" spans="1:15">
      <c r="A231" s="1" t="s">
        <v>0</v>
      </c>
      <c r="B231" s="16">
        <v>43369</v>
      </c>
      <c r="D231" s="2">
        <v>27.785</v>
      </c>
      <c r="E231" s="2">
        <v>27.8</v>
      </c>
      <c r="F231" s="2">
        <v>27.31</v>
      </c>
      <c r="G231" s="2">
        <v>27.32</v>
      </c>
      <c r="H231" s="2">
        <v>3947714</v>
      </c>
      <c r="I231" s="2">
        <v>27.32</v>
      </c>
      <c r="J231" s="2">
        <f t="shared" si="18"/>
        <v>-1.4252209994587752E-2</v>
      </c>
      <c r="K231" s="2">
        <f t="shared" si="19"/>
        <v>1.3443738839072398E-3</v>
      </c>
      <c r="L231" s="2">
        <f t="shared" si="20"/>
        <v>-1.5596583878494993E-2</v>
      </c>
      <c r="M231" s="2">
        <f t="shared" si="21"/>
        <v>1.6800649290195191E-3</v>
      </c>
      <c r="N231" s="2">
        <f t="shared" si="22"/>
        <v>-0.1077200585787276</v>
      </c>
      <c r="O231" s="2">
        <f t="shared" si="23"/>
        <v>-0.4162790095311128</v>
      </c>
    </row>
    <row r="232" spans="1:15">
      <c r="A232" s="1" t="s">
        <v>0</v>
      </c>
      <c r="B232" s="16">
        <v>43370</v>
      </c>
      <c r="D232" s="2">
        <v>27.135000000000002</v>
      </c>
      <c r="E232" s="2">
        <v>27.47</v>
      </c>
      <c r="F232" s="2">
        <v>26.895</v>
      </c>
      <c r="G232" s="2">
        <v>27.04</v>
      </c>
      <c r="H232" s="2">
        <v>4561418</v>
      </c>
      <c r="I232" s="2">
        <v>27.04</v>
      </c>
      <c r="J232" s="2">
        <f t="shared" si="18"/>
        <v>-1.0248901903367538E-2</v>
      </c>
      <c r="K232" s="2">
        <f t="shared" si="19"/>
        <v>-1.1877208014211271E-3</v>
      </c>
      <c r="L232" s="2">
        <f t="shared" si="20"/>
        <v>-9.0611811019464111E-3</v>
      </c>
      <c r="M232" s="2">
        <f t="shared" si="21"/>
        <v>1.6800649289233983E-3</v>
      </c>
      <c r="N232" s="2">
        <f t="shared" si="22"/>
        <v>-0.18541345879981447</v>
      </c>
      <c r="O232" s="2">
        <f t="shared" si="23"/>
        <v>-0.4210228313561124</v>
      </c>
    </row>
    <row r="233" spans="1:15">
      <c r="A233" s="1" t="s">
        <v>0</v>
      </c>
      <c r="B233" s="16">
        <v>43371</v>
      </c>
      <c r="D233" s="2">
        <v>27.04</v>
      </c>
      <c r="E233" s="2">
        <v>27.225000000000001</v>
      </c>
      <c r="F233" s="2">
        <v>26.56</v>
      </c>
      <c r="G233" s="2">
        <v>26.8</v>
      </c>
      <c r="H233" s="2">
        <v>4704818</v>
      </c>
      <c r="I233" s="2">
        <v>26.8</v>
      </c>
      <c r="J233" s="2">
        <f t="shared" si="18"/>
        <v>-8.8757396449703572E-3</v>
      </c>
      <c r="K233" s="2">
        <f t="shared" si="19"/>
        <v>-8.5410150334417029E-4</v>
      </c>
      <c r="L233" s="2">
        <f t="shared" si="20"/>
        <v>-8.0216381416261875E-3</v>
      </c>
      <c r="M233" s="2">
        <f t="shared" si="21"/>
        <v>1.6800649289128058E-3</v>
      </c>
      <c r="N233" s="2">
        <f t="shared" si="22"/>
        <v>-0.20944162517061815</v>
      </c>
      <c r="O233" s="2">
        <f t="shared" si="23"/>
        <v>-0.43212217489337346</v>
      </c>
    </row>
    <row r="234" spans="1:15">
      <c r="A234" s="1" t="s">
        <v>0</v>
      </c>
      <c r="B234" s="16">
        <v>43374</v>
      </c>
      <c r="D234" s="2">
        <v>26.715</v>
      </c>
      <c r="E234" s="2">
        <v>26.975000000000001</v>
      </c>
      <c r="F234" s="2">
        <v>26.5</v>
      </c>
      <c r="G234" s="2">
        <v>26.605</v>
      </c>
      <c r="H234" s="2">
        <v>4637986</v>
      </c>
      <c r="I234" s="2">
        <v>26.605</v>
      </c>
      <c r="J234" s="2">
        <f t="shared" si="18"/>
        <v>-7.2761194029850847E-3</v>
      </c>
      <c r="K234" s="2">
        <f t="shared" si="19"/>
        <v>-7.3966778544048463E-4</v>
      </c>
      <c r="L234" s="2">
        <f t="shared" si="20"/>
        <v>-6.5364516175446001E-3</v>
      </c>
      <c r="M234" s="2">
        <f t="shared" si="21"/>
        <v>1.6800649288999092E-3</v>
      </c>
      <c r="N234" s="2">
        <f t="shared" si="22"/>
        <v>-0.25703011774621243</v>
      </c>
      <c r="O234" s="2">
        <f t="shared" si="23"/>
        <v>-0.59652097747716026</v>
      </c>
    </row>
    <row r="235" spans="1:15">
      <c r="A235" s="1" t="s">
        <v>0</v>
      </c>
      <c r="B235" s="16">
        <v>43375</v>
      </c>
      <c r="D235" s="2">
        <v>26.63</v>
      </c>
      <c r="E235" s="2">
        <v>26.864999999999998</v>
      </c>
      <c r="F235" s="2">
        <v>26.29</v>
      </c>
      <c r="G235" s="2">
        <v>26.66</v>
      </c>
      <c r="H235" s="2">
        <v>5188432</v>
      </c>
      <c r="I235" s="2">
        <v>26.66</v>
      </c>
      <c r="J235" s="2">
        <f t="shared" si="18"/>
        <v>2.0672805863559372E-3</v>
      </c>
      <c r="K235" s="2">
        <f t="shared" si="19"/>
        <v>-6.0636198679580493E-4</v>
      </c>
      <c r="L235" s="2">
        <f t="shared" si="20"/>
        <v>2.6736425731517422E-3</v>
      </c>
      <c r="M235" s="2">
        <f t="shared" si="21"/>
        <v>1.6800649288786886E-3</v>
      </c>
      <c r="N235" s="2">
        <f t="shared" si="22"/>
        <v>0.62838052690722801</v>
      </c>
      <c r="O235" s="2">
        <f t="shared" si="23"/>
        <v>-0.40584303319432236</v>
      </c>
    </row>
    <row r="236" spans="1:15">
      <c r="A236" s="1" t="s">
        <v>0</v>
      </c>
      <c r="B236" s="16">
        <v>43376</v>
      </c>
      <c r="D236" s="2">
        <v>26.78</v>
      </c>
      <c r="E236" s="2">
        <v>27.145</v>
      </c>
      <c r="F236" s="2">
        <v>26.64</v>
      </c>
      <c r="G236" s="2">
        <v>27.05</v>
      </c>
      <c r="H236" s="2">
        <v>2968184</v>
      </c>
      <c r="I236" s="2">
        <v>27.05</v>
      </c>
      <c r="J236" s="2">
        <f t="shared" si="18"/>
        <v>1.4628657164291094E-2</v>
      </c>
      <c r="K236" s="2">
        <f t="shared" si="19"/>
        <v>1.7227869612652539E-4</v>
      </c>
      <c r="L236" s="2">
        <f t="shared" si="20"/>
        <v>1.4456378468164569E-2</v>
      </c>
      <c r="M236" s="2">
        <f t="shared" si="21"/>
        <v>1.6800649289990799E-3</v>
      </c>
      <c r="N236" s="2">
        <f t="shared" si="22"/>
        <v>0.11621616940223804</v>
      </c>
      <c r="O236" s="2">
        <f t="shared" si="23"/>
        <v>-0.41811528326593361</v>
      </c>
    </row>
    <row r="237" spans="1:15">
      <c r="A237" s="1" t="s">
        <v>0</v>
      </c>
      <c r="B237" s="16">
        <v>43377</v>
      </c>
      <c r="D237" s="2">
        <v>26.85</v>
      </c>
      <c r="E237" s="2">
        <v>27.33</v>
      </c>
      <c r="F237" s="2">
        <v>26.765000000000001</v>
      </c>
      <c r="G237" s="2">
        <v>26.85</v>
      </c>
      <c r="H237" s="2">
        <v>4526843</v>
      </c>
      <c r="I237" s="2">
        <v>26.85</v>
      </c>
      <c r="J237" s="2">
        <f t="shared" si="18"/>
        <v>-7.3937153419593084E-3</v>
      </c>
      <c r="K237" s="2">
        <f t="shared" si="19"/>
        <v>1.219092366551206E-3</v>
      </c>
      <c r="L237" s="2">
        <f t="shared" si="20"/>
        <v>-8.6128077085105142E-3</v>
      </c>
      <c r="M237" s="2">
        <f t="shared" si="21"/>
        <v>1.6800649289186714E-3</v>
      </c>
      <c r="N237" s="2">
        <f t="shared" si="22"/>
        <v>-0.19506588162400984</v>
      </c>
      <c r="O237" s="2">
        <f t="shared" si="23"/>
        <v>-0.40007083733276017</v>
      </c>
    </row>
    <row r="238" spans="1:15">
      <c r="A238" s="1" t="s">
        <v>0</v>
      </c>
      <c r="B238" s="16">
        <v>43378</v>
      </c>
      <c r="D238" s="2">
        <v>26.504999999999999</v>
      </c>
      <c r="E238" s="2">
        <v>26.52</v>
      </c>
      <c r="F238" s="2">
        <v>25.65</v>
      </c>
      <c r="G238" s="2">
        <v>25.815000000000001</v>
      </c>
      <c r="H238" s="2">
        <v>6634078</v>
      </c>
      <c r="I238" s="2">
        <v>25.815000000000001</v>
      </c>
      <c r="J238" s="2">
        <f t="shared" si="18"/>
        <v>-3.8547486033519554E-2</v>
      </c>
      <c r="K238" s="2">
        <f t="shared" si="19"/>
        <v>-6.1616195065652371E-4</v>
      </c>
      <c r="L238" s="2">
        <f t="shared" si="20"/>
        <v>-3.7931324082863031E-2</v>
      </c>
      <c r="M238" s="2">
        <f t="shared" si="21"/>
        <v>1.6800649297326229E-3</v>
      </c>
      <c r="N238" s="2">
        <f t="shared" si="22"/>
        <v>-4.4292282707095329E-2</v>
      </c>
      <c r="O238" s="2">
        <f t="shared" si="23"/>
        <v>-0.43085466362028024</v>
      </c>
    </row>
    <row r="239" spans="1:15">
      <c r="A239" s="1" t="s">
        <v>0</v>
      </c>
      <c r="B239" s="16">
        <v>43381</v>
      </c>
      <c r="D239" s="2">
        <v>25.715</v>
      </c>
      <c r="E239" s="2">
        <v>25.82</v>
      </c>
      <c r="F239" s="2">
        <v>25.395</v>
      </c>
      <c r="G239" s="2">
        <v>25.56</v>
      </c>
      <c r="H239" s="2">
        <v>3856814</v>
      </c>
      <c r="I239" s="2">
        <v>25.56</v>
      </c>
      <c r="J239" s="2">
        <f t="shared" si="18"/>
        <v>-9.8779779198141602E-3</v>
      </c>
      <c r="K239" s="2">
        <f t="shared" si="19"/>
        <v>-3.2123895888348402E-3</v>
      </c>
      <c r="L239" s="2">
        <f t="shared" si="20"/>
        <v>-6.6655883309793204E-3</v>
      </c>
      <c r="M239" s="2">
        <f t="shared" si="21"/>
        <v>1.680064928900926E-3</v>
      </c>
      <c r="N239" s="2">
        <f t="shared" si="22"/>
        <v>-0.25205050859390349</v>
      </c>
      <c r="O239" s="2">
        <f t="shared" si="23"/>
        <v>-0.40342769123161004</v>
      </c>
    </row>
    <row r="240" spans="1:15">
      <c r="A240" s="1" t="s">
        <v>0</v>
      </c>
      <c r="B240" s="16">
        <v>43382</v>
      </c>
      <c r="D240" s="2">
        <v>25.79</v>
      </c>
      <c r="E240" s="2">
        <v>26.164999999999999</v>
      </c>
      <c r="F240" s="2">
        <v>25.6</v>
      </c>
      <c r="G240" s="2">
        <v>26</v>
      </c>
      <c r="H240" s="2">
        <v>4318689</v>
      </c>
      <c r="I240" s="2">
        <v>26</v>
      </c>
      <c r="J240" s="2">
        <f t="shared" si="18"/>
        <v>1.7214397496087688E-2</v>
      </c>
      <c r="K240" s="2">
        <f t="shared" si="19"/>
        <v>-8.2319021792389975E-4</v>
      </c>
      <c r="L240" s="2">
        <f t="shared" si="20"/>
        <v>1.8037587714011587E-2</v>
      </c>
      <c r="M240" s="2">
        <f t="shared" si="21"/>
        <v>1.6800649290684903E-3</v>
      </c>
      <c r="N240" s="2">
        <f t="shared" si="22"/>
        <v>9.3142439870904523E-2</v>
      </c>
      <c r="O240" s="2">
        <f t="shared" si="23"/>
        <v>-0.39967470228942814</v>
      </c>
    </row>
    <row r="241" spans="1:15">
      <c r="A241" s="1" t="s">
        <v>0</v>
      </c>
      <c r="B241" s="16">
        <v>43383</v>
      </c>
      <c r="D241" s="2">
        <v>26.055</v>
      </c>
      <c r="E241" s="2">
        <v>26.1</v>
      </c>
      <c r="F241" s="2">
        <v>24.754999999999999</v>
      </c>
      <c r="G241" s="2">
        <v>24.76</v>
      </c>
      <c r="H241" s="2">
        <v>6646427</v>
      </c>
      <c r="I241" s="2">
        <v>24.76</v>
      </c>
      <c r="J241" s="2">
        <f t="shared" si="18"/>
        <v>-4.7692307692307631E-2</v>
      </c>
      <c r="K241" s="2">
        <f t="shared" si="19"/>
        <v>1.4345773741615794E-3</v>
      </c>
      <c r="L241" s="2">
        <f t="shared" si="20"/>
        <v>-4.9126885066469207E-2</v>
      </c>
      <c r="M241" s="2">
        <f t="shared" si="21"/>
        <v>1.6800649303139858E-3</v>
      </c>
      <c r="N241" s="2">
        <f t="shared" si="22"/>
        <v>-3.4198482725718099E-2</v>
      </c>
      <c r="O241" s="2">
        <f t="shared" si="23"/>
        <v>-0.40315069283299243</v>
      </c>
    </row>
    <row r="242" spans="1:15">
      <c r="A242" s="1" t="s">
        <v>0</v>
      </c>
      <c r="B242" s="16">
        <v>43384</v>
      </c>
      <c r="D242" s="2">
        <v>24.25</v>
      </c>
      <c r="E242" s="2">
        <v>24.754999999999999</v>
      </c>
      <c r="F242" s="2">
        <v>24</v>
      </c>
      <c r="G242" s="2">
        <v>24.2</v>
      </c>
      <c r="H242" s="2">
        <v>7209123</v>
      </c>
      <c r="I242" s="2">
        <v>24.2</v>
      </c>
      <c r="J242" s="2">
        <f t="shared" si="18"/>
        <v>-2.2617124394184257E-2</v>
      </c>
      <c r="K242" s="2">
        <f t="shared" si="19"/>
        <v>-3.9744815671002246E-3</v>
      </c>
      <c r="L242" s="2">
        <f t="shared" si="20"/>
        <v>-1.8642642827084034E-2</v>
      </c>
      <c r="M242" s="2">
        <f t="shared" si="21"/>
        <v>1.680064929081728E-3</v>
      </c>
      <c r="N242" s="2">
        <f t="shared" si="22"/>
        <v>-9.0119461315910074E-2</v>
      </c>
      <c r="O242" s="2">
        <f t="shared" si="23"/>
        <v>-0.4030715687786709</v>
      </c>
    </row>
    <row r="243" spans="1:15">
      <c r="A243" s="1" t="s">
        <v>0</v>
      </c>
      <c r="B243" s="16">
        <v>43385</v>
      </c>
      <c r="D243" s="2">
        <v>24.9</v>
      </c>
      <c r="E243" s="2">
        <v>24.9</v>
      </c>
      <c r="F243" s="2">
        <v>24.254999999999999</v>
      </c>
      <c r="G243" s="2">
        <v>24.61</v>
      </c>
      <c r="H243" s="2">
        <v>6524919</v>
      </c>
      <c r="I243" s="2">
        <v>24.61</v>
      </c>
      <c r="J243" s="2">
        <f t="shared" si="18"/>
        <v>1.6942148760330584E-2</v>
      </c>
      <c r="K243" s="2">
        <f t="shared" si="19"/>
        <v>-1.8848185033410929E-3</v>
      </c>
      <c r="L243" s="2">
        <f t="shared" si="20"/>
        <v>1.8826967263671678E-2</v>
      </c>
      <c r="M243" s="2">
        <f t="shared" si="21"/>
        <v>1.6800649290858477E-3</v>
      </c>
      <c r="N243" s="2">
        <f t="shared" si="22"/>
        <v>8.9237151451773314E-2</v>
      </c>
      <c r="O243" s="2">
        <f t="shared" si="23"/>
        <v>-0.47699497042520894</v>
      </c>
    </row>
    <row r="244" spans="1:15">
      <c r="A244" s="1" t="s">
        <v>0</v>
      </c>
      <c r="B244" s="16">
        <v>43388</v>
      </c>
      <c r="D244" s="2">
        <v>24.664999999999999</v>
      </c>
      <c r="E244" s="2">
        <v>24.664999999999999</v>
      </c>
      <c r="F244" s="2">
        <v>24.215</v>
      </c>
      <c r="G244" s="2">
        <v>24.54</v>
      </c>
      <c r="H244" s="2">
        <v>3967564</v>
      </c>
      <c r="I244" s="2">
        <v>24.54</v>
      </c>
      <c r="J244" s="2">
        <f t="shared" si="18"/>
        <v>-2.8443722064201661E-3</v>
      </c>
      <c r="K244" s="2">
        <f t="shared" si="19"/>
        <v>1.4118892797016949E-3</v>
      </c>
      <c r="L244" s="2">
        <f t="shared" si="20"/>
        <v>-4.2562614861218605E-3</v>
      </c>
      <c r="M244" s="2">
        <f t="shared" si="21"/>
        <v>1.6800649288852302E-3</v>
      </c>
      <c r="N244" s="2">
        <f t="shared" si="22"/>
        <v>-0.39472784610703976</v>
      </c>
      <c r="O244" s="2">
        <f t="shared" si="23"/>
        <v>-0.411118282838354</v>
      </c>
    </row>
    <row r="245" spans="1:15">
      <c r="A245" s="1" t="s">
        <v>0</v>
      </c>
      <c r="B245" s="16">
        <v>43389</v>
      </c>
      <c r="D245" s="2">
        <v>24.495000000000001</v>
      </c>
      <c r="E245" s="2">
        <v>24.805</v>
      </c>
      <c r="F245" s="2">
        <v>24.234999999999999</v>
      </c>
      <c r="G245" s="2">
        <v>24.8</v>
      </c>
      <c r="H245" s="2">
        <v>4718387</v>
      </c>
      <c r="I245" s="2">
        <v>24.8</v>
      </c>
      <c r="J245" s="2">
        <f t="shared" si="18"/>
        <v>1.0594947025264938E-2</v>
      </c>
      <c r="K245" s="2">
        <f t="shared" si="19"/>
        <v>-2.3703832864041785E-4</v>
      </c>
      <c r="L245" s="2">
        <f t="shared" si="20"/>
        <v>1.0831985353905355E-2</v>
      </c>
      <c r="M245" s="2">
        <f t="shared" si="21"/>
        <v>1.6800649289444101E-3</v>
      </c>
      <c r="N245" s="2">
        <f t="shared" si="22"/>
        <v>0.15510221571142366</v>
      </c>
      <c r="O245" s="2">
        <f t="shared" si="23"/>
        <v>-3.4393551344195128</v>
      </c>
    </row>
    <row r="246" spans="1:15">
      <c r="A246" s="1" t="s">
        <v>0</v>
      </c>
      <c r="B246" s="16">
        <v>43390</v>
      </c>
      <c r="D246" s="2">
        <v>24.95</v>
      </c>
      <c r="E246" s="2">
        <v>25.265000000000001</v>
      </c>
      <c r="F246" s="2">
        <v>24.524999999999999</v>
      </c>
      <c r="G246" s="2">
        <v>24.805</v>
      </c>
      <c r="H246" s="2">
        <v>5289082</v>
      </c>
      <c r="I246" s="2">
        <v>24.805</v>
      </c>
      <c r="J246" s="2">
        <f t="shared" si="18"/>
        <v>2.0161290322576634E-4</v>
      </c>
      <c r="K246" s="2">
        <f t="shared" si="19"/>
        <v>8.8293948634217054E-4</v>
      </c>
      <c r="L246" s="2">
        <f t="shared" si="20"/>
        <v>-6.8132658311640423E-4</v>
      </c>
      <c r="M246" s="2">
        <f t="shared" si="21"/>
        <v>1.6800649288747015E-3</v>
      </c>
      <c r="N246" s="2">
        <f t="shared" si="22"/>
        <v>-2.465873151741774</v>
      </c>
      <c r="O246" s="2">
        <f t="shared" si="23"/>
        <v>-0.55176384041083604</v>
      </c>
    </row>
    <row r="247" spans="1:15">
      <c r="A247" s="1" t="s">
        <v>0</v>
      </c>
      <c r="B247" s="16">
        <v>43391</v>
      </c>
      <c r="D247" s="2">
        <v>24.75</v>
      </c>
      <c r="E247" s="2">
        <v>25.22</v>
      </c>
      <c r="F247" s="2">
        <v>24.545000000000002</v>
      </c>
      <c r="G247" s="2">
        <v>24.73</v>
      </c>
      <c r="H247" s="2">
        <v>5208084</v>
      </c>
      <c r="I247" s="2">
        <v>24.73</v>
      </c>
      <c r="J247" s="2">
        <f t="shared" si="18"/>
        <v>-3.0235839548477844E-3</v>
      </c>
      <c r="K247" s="2">
        <f t="shared" si="19"/>
        <v>1.680159351336261E-5</v>
      </c>
      <c r="L247" s="2">
        <f t="shared" si="20"/>
        <v>-3.0403855483611469E-3</v>
      </c>
      <c r="M247" s="2">
        <f t="shared" si="21"/>
        <v>1.6800649288799385E-3</v>
      </c>
      <c r="N247" s="2">
        <f t="shared" si="22"/>
        <v>-0.55258285574523291</v>
      </c>
      <c r="O247" s="2">
        <f t="shared" si="23"/>
        <v>-0.40000960025666576</v>
      </c>
    </row>
    <row r="248" spans="1:15">
      <c r="A248" s="1" t="s">
        <v>0</v>
      </c>
      <c r="B248" s="16">
        <v>43392</v>
      </c>
      <c r="D248" s="2">
        <v>24.6</v>
      </c>
      <c r="E248" s="2">
        <v>24.835000000000001</v>
      </c>
      <c r="F248" s="2">
        <v>23.71</v>
      </c>
      <c r="G248" s="2">
        <v>23.754999999999999</v>
      </c>
      <c r="H248" s="2">
        <v>6595679</v>
      </c>
      <c r="I248" s="2">
        <v>23.754999999999999</v>
      </c>
      <c r="J248" s="2">
        <f t="shared" si="18"/>
        <v>-3.9425798625151692E-2</v>
      </c>
      <c r="K248" s="2">
        <f t="shared" si="19"/>
        <v>-2.5197310167192403E-4</v>
      </c>
      <c r="L248" s="2">
        <f t="shared" si="20"/>
        <v>-3.9173825523479769E-2</v>
      </c>
      <c r="M248" s="2">
        <f t="shared" si="21"/>
        <v>1.6800649297897671E-3</v>
      </c>
      <c r="N248" s="2">
        <f t="shared" si="22"/>
        <v>-4.2887435866654895E-2</v>
      </c>
      <c r="O248" s="2">
        <f t="shared" si="23"/>
        <v>-0.46871458088688833</v>
      </c>
    </row>
    <row r="249" spans="1:15">
      <c r="A249" s="1" t="s">
        <v>0</v>
      </c>
      <c r="B249" s="16">
        <v>43395</v>
      </c>
      <c r="D249" s="2">
        <v>23.844999999999999</v>
      </c>
      <c r="E249" s="2">
        <v>24.225000000000001</v>
      </c>
      <c r="F249" s="2">
        <v>23.504999999999999</v>
      </c>
      <c r="G249" s="2">
        <v>23.57</v>
      </c>
      <c r="H249" s="2">
        <v>3959270</v>
      </c>
      <c r="I249" s="2">
        <v>23.57</v>
      </c>
      <c r="J249" s="2">
        <f t="shared" si="18"/>
        <v>-7.787834140180961E-3</v>
      </c>
      <c r="K249" s="2">
        <f t="shared" si="19"/>
        <v>-3.2855845625005204E-3</v>
      </c>
      <c r="L249" s="2">
        <f t="shared" si="20"/>
        <v>-4.5022495776804406E-3</v>
      </c>
      <c r="M249" s="2">
        <f t="shared" si="21"/>
        <v>1.6800649288865152E-3</v>
      </c>
      <c r="N249" s="2">
        <f t="shared" si="22"/>
        <v>-0.37316121638731647</v>
      </c>
      <c r="O249" s="2">
        <f t="shared" si="23"/>
        <v>-0.40142301788135215</v>
      </c>
    </row>
    <row r="250" spans="1:15">
      <c r="A250" s="1" t="s">
        <v>0</v>
      </c>
      <c r="B250" s="16">
        <v>43396</v>
      </c>
      <c r="D250" s="2">
        <v>23.2</v>
      </c>
      <c r="E250" s="2">
        <v>23.335000000000001</v>
      </c>
      <c r="F250" s="2">
        <v>22.64</v>
      </c>
      <c r="G250" s="2">
        <v>22.975000000000001</v>
      </c>
      <c r="H250" s="2">
        <v>7211854</v>
      </c>
      <c r="I250" s="2">
        <v>22.975000000000001</v>
      </c>
      <c r="J250" s="2">
        <f t="shared" si="18"/>
        <v>-2.5243954179041104E-2</v>
      </c>
      <c r="K250" s="2">
        <f t="shared" si="19"/>
        <v>-6.4900619692125842E-4</v>
      </c>
      <c r="L250" s="2">
        <f t="shared" si="20"/>
        <v>-2.4594947982119846E-2</v>
      </c>
      <c r="M250" s="2">
        <f t="shared" si="21"/>
        <v>1.6800649292352387E-3</v>
      </c>
      <c r="N250" s="2">
        <f t="shared" si="22"/>
        <v>-6.8309350784422088E-2</v>
      </c>
      <c r="O250" s="2">
        <f t="shared" si="23"/>
        <v>-0.39953644516274789</v>
      </c>
    </row>
    <row r="251" spans="1:15">
      <c r="A251" s="1" t="s">
        <v>0</v>
      </c>
      <c r="B251" s="16">
        <v>43397</v>
      </c>
      <c r="D251" s="2">
        <v>23.024999999999999</v>
      </c>
      <c r="E251" s="2">
        <v>23.19</v>
      </c>
      <c r="F251" s="2">
        <v>21.594999999999999</v>
      </c>
      <c r="G251" s="2">
        <v>21.635000000000002</v>
      </c>
      <c r="H251" s="2">
        <v>9862847</v>
      </c>
      <c r="I251" s="2">
        <v>21.635000000000002</v>
      </c>
      <c r="J251" s="2">
        <f t="shared" si="18"/>
        <v>-5.8324265505984754E-2</v>
      </c>
      <c r="K251" s="2">
        <f t="shared" si="19"/>
        <v>-2.1037277376599705E-3</v>
      </c>
      <c r="L251" s="2">
        <f t="shared" si="20"/>
        <v>-5.6220537768324787E-2</v>
      </c>
      <c r="M251" s="2">
        <f t="shared" si="21"/>
        <v>1.6800649307597297E-3</v>
      </c>
      <c r="N251" s="2">
        <f t="shared" si="22"/>
        <v>-2.9883473147891075E-2</v>
      </c>
      <c r="O251" s="2">
        <f t="shared" si="23"/>
        <v>-0.40148522120531799</v>
      </c>
    </row>
    <row r="252" spans="1:15">
      <c r="A252" s="1" t="s">
        <v>0</v>
      </c>
      <c r="B252" s="16">
        <v>43398</v>
      </c>
      <c r="D252" s="2">
        <v>21.23</v>
      </c>
      <c r="E252" s="2">
        <v>22.344999999999999</v>
      </c>
      <c r="F252" s="2">
        <v>20.815000000000001</v>
      </c>
      <c r="G252" s="2">
        <v>22.055</v>
      </c>
      <c r="H252" s="2">
        <v>8932284</v>
      </c>
      <c r="I252" s="2">
        <v>22.055</v>
      </c>
      <c r="J252" s="2">
        <f t="shared" si="18"/>
        <v>1.9412988213542783E-2</v>
      </c>
      <c r="K252" s="2">
        <f t="shared" si="19"/>
        <v>-4.8605053809460484E-3</v>
      </c>
      <c r="L252" s="2">
        <f t="shared" si="20"/>
        <v>2.4273493594488833E-2</v>
      </c>
      <c r="M252" s="2">
        <f t="shared" si="21"/>
        <v>1.6800649292258688E-3</v>
      </c>
      <c r="N252" s="2">
        <f t="shared" si="22"/>
        <v>6.921397295720623E-2</v>
      </c>
      <c r="O252" s="2">
        <f t="shared" si="23"/>
        <v>-0.40014750752491945</v>
      </c>
    </row>
    <row r="253" spans="1:15">
      <c r="A253" s="1" t="s">
        <v>0</v>
      </c>
      <c r="B253" s="16">
        <v>43399</v>
      </c>
      <c r="D253" s="2">
        <v>21.65</v>
      </c>
      <c r="E253" s="2">
        <v>21.805</v>
      </c>
      <c r="F253" s="2">
        <v>20.905000000000001</v>
      </c>
      <c r="G253" s="2">
        <v>21.285</v>
      </c>
      <c r="H253" s="2">
        <v>7395723</v>
      </c>
      <c r="I253" s="2">
        <v>21.285</v>
      </c>
      <c r="J253" s="2">
        <f t="shared" si="18"/>
        <v>-3.4912718204488762E-2</v>
      </c>
      <c r="K253" s="2">
        <f t="shared" si="19"/>
        <v>1.6177989187448024E-3</v>
      </c>
      <c r="L253" s="2">
        <f t="shared" si="20"/>
        <v>-3.6530517123233561E-2</v>
      </c>
      <c r="M253" s="2">
        <f t="shared" si="21"/>
        <v>1.6800649296704066E-3</v>
      </c>
      <c r="N253" s="2">
        <f t="shared" si="22"/>
        <v>-4.599072397477446E-2</v>
      </c>
      <c r="O253" s="2">
        <f t="shared" si="23"/>
        <v>-0.39988472702456784</v>
      </c>
    </row>
    <row r="254" spans="1:15">
      <c r="A254" s="1" t="s">
        <v>0</v>
      </c>
      <c r="B254" s="16">
        <v>43402</v>
      </c>
      <c r="D254" s="2">
        <v>21.42</v>
      </c>
      <c r="E254" s="2">
        <v>22.47</v>
      </c>
      <c r="F254" s="2">
        <v>21.315000000000001</v>
      </c>
      <c r="G254" s="2">
        <v>22.12</v>
      </c>
      <c r="H254" s="2">
        <v>5188071</v>
      </c>
      <c r="I254" s="2">
        <v>22.12</v>
      </c>
      <c r="J254" s="2">
        <f t="shared" si="18"/>
        <v>3.9229504345783456E-2</v>
      </c>
      <c r="K254" s="2">
        <f t="shared" si="19"/>
        <v>-2.9094829266038185E-3</v>
      </c>
      <c r="L254" s="2">
        <f t="shared" si="20"/>
        <v>4.2138987272387275E-2</v>
      </c>
      <c r="M254" s="2">
        <f t="shared" si="21"/>
        <v>1.6800649299335804E-3</v>
      </c>
      <c r="N254" s="2">
        <f t="shared" si="22"/>
        <v>3.9869608613837974E-2</v>
      </c>
      <c r="O254" s="2">
        <f t="shared" si="23"/>
        <v>-0.40073794727970075</v>
      </c>
    </row>
    <row r="255" spans="1:15">
      <c r="A255" s="1" t="s">
        <v>0</v>
      </c>
      <c r="B255" s="16">
        <v>43403</v>
      </c>
      <c r="D255" s="2">
        <v>21.96</v>
      </c>
      <c r="E255" s="2">
        <v>22.17</v>
      </c>
      <c r="F255" s="2">
        <v>21.335000000000001</v>
      </c>
      <c r="G255" s="2">
        <v>21.545000000000002</v>
      </c>
      <c r="H255" s="2">
        <v>5756819</v>
      </c>
      <c r="I255" s="2">
        <v>21.545000000000002</v>
      </c>
      <c r="J255" s="2">
        <f t="shared" si="18"/>
        <v>-2.5994575045207923E-2</v>
      </c>
      <c r="K255" s="2">
        <f t="shared" si="19"/>
        <v>3.2692262013134369E-3</v>
      </c>
      <c r="L255" s="2">
        <f t="shared" si="20"/>
        <v>-2.9263801246521361E-2</v>
      </c>
      <c r="M255" s="2">
        <f t="shared" si="21"/>
        <v>1.6800649293852272E-3</v>
      </c>
      <c r="N255" s="2">
        <f t="shared" si="22"/>
        <v>-5.7411028568441339E-2</v>
      </c>
      <c r="O255" s="2">
        <f t="shared" si="23"/>
        <v>-0.40132269141554289</v>
      </c>
    </row>
    <row r="256" spans="1:15">
      <c r="A256" s="1" t="s">
        <v>0</v>
      </c>
      <c r="B256" s="16">
        <v>43404</v>
      </c>
      <c r="D256" s="2">
        <v>21.844999999999999</v>
      </c>
      <c r="E256" s="2">
        <v>22.225000000000001</v>
      </c>
      <c r="F256" s="2">
        <v>21.725000000000001</v>
      </c>
      <c r="G256" s="2">
        <v>22.04</v>
      </c>
      <c r="H256" s="2">
        <v>6176682</v>
      </c>
      <c r="I256" s="2">
        <v>22.04</v>
      </c>
      <c r="J256" s="2">
        <f t="shared" si="18"/>
        <v>2.2975168252494658E-2</v>
      </c>
      <c r="K256" s="2">
        <f t="shared" si="19"/>
        <v>-2.166281405972859E-3</v>
      </c>
      <c r="L256" s="2">
        <f t="shared" si="20"/>
        <v>2.5141449658467516E-2</v>
      </c>
      <c r="M256" s="2">
        <f t="shared" si="21"/>
        <v>1.6800649292514516E-3</v>
      </c>
      <c r="N256" s="2">
        <f t="shared" si="22"/>
        <v>6.6824505033488149E-2</v>
      </c>
      <c r="O256" s="2">
        <f t="shared" si="23"/>
        <v>-0.43270879440955734</v>
      </c>
    </row>
    <row r="257" spans="1:15">
      <c r="A257" s="1" t="s">
        <v>0</v>
      </c>
      <c r="B257" s="16">
        <v>43405</v>
      </c>
      <c r="D257" s="2">
        <v>21.92</v>
      </c>
      <c r="E257" s="2">
        <v>22.625</v>
      </c>
      <c r="F257" s="2">
        <v>21.53</v>
      </c>
      <c r="G257" s="2">
        <v>22.225000000000001</v>
      </c>
      <c r="H257" s="2">
        <v>6623990</v>
      </c>
      <c r="I257" s="2">
        <v>22.225000000000001</v>
      </c>
      <c r="J257" s="2">
        <f t="shared" si="18"/>
        <v>8.393829401089032E-3</v>
      </c>
      <c r="K257" s="2">
        <f t="shared" si="19"/>
        <v>1.9146564118828441E-3</v>
      </c>
      <c r="L257" s="2">
        <f t="shared" si="20"/>
        <v>6.4791729892061875E-3</v>
      </c>
      <c r="M257" s="2">
        <f t="shared" si="21"/>
        <v>1.6800649288994645E-3</v>
      </c>
      <c r="N257" s="2">
        <f t="shared" si="22"/>
        <v>0.2593023726482262</v>
      </c>
      <c r="O257" s="2">
        <f t="shared" si="23"/>
        <v>-0.751862458595705</v>
      </c>
    </row>
    <row r="258" spans="1:15">
      <c r="A258" s="1" t="s">
        <v>0</v>
      </c>
      <c r="B258" s="16">
        <v>43406</v>
      </c>
      <c r="D258" s="2">
        <v>23.12</v>
      </c>
      <c r="E258" s="2">
        <v>23.5</v>
      </c>
      <c r="F258" s="2">
        <v>22.285</v>
      </c>
      <c r="G258" s="2">
        <v>22.285</v>
      </c>
      <c r="H258" s="2">
        <v>8220268</v>
      </c>
      <c r="I258" s="2">
        <v>22.285</v>
      </c>
      <c r="J258" s="2">
        <f t="shared" si="18"/>
        <v>2.6996625421821696E-3</v>
      </c>
      <c r="K258" s="2">
        <f t="shared" si="19"/>
        <v>6.9950735970348405E-4</v>
      </c>
      <c r="L258" s="2">
        <f t="shared" si="20"/>
        <v>2.0001551824786858E-3</v>
      </c>
      <c r="M258" s="2">
        <f t="shared" si="21"/>
        <v>1.680064928876811E-3</v>
      </c>
      <c r="N258" s="2">
        <f t="shared" si="22"/>
        <v>0.8399672903353409</v>
      </c>
      <c r="O258" s="2">
        <f t="shared" si="23"/>
        <v>-0.42334594239721302</v>
      </c>
    </row>
    <row r="259" spans="1:15">
      <c r="A259" s="1" t="s">
        <v>0</v>
      </c>
      <c r="B259" s="16">
        <v>43409</v>
      </c>
      <c r="D259" s="2">
        <v>22.364999999999998</v>
      </c>
      <c r="E259" s="2">
        <v>22.74</v>
      </c>
      <c r="F259" s="2">
        <v>22.055</v>
      </c>
      <c r="G259" s="2">
        <v>22.46</v>
      </c>
      <c r="H259" s="2">
        <v>4420615</v>
      </c>
      <c r="I259" s="2">
        <v>22.46</v>
      </c>
      <c r="J259" s="2">
        <f t="shared" si="18"/>
        <v>7.8528157953780889E-3</v>
      </c>
      <c r="K259" s="2">
        <f t="shared" si="19"/>
        <v>2.2497881797874472E-4</v>
      </c>
      <c r="L259" s="2">
        <f t="shared" si="20"/>
        <v>7.6278369773993444E-3</v>
      </c>
      <c r="M259" s="2">
        <f t="shared" si="21"/>
        <v>1.6800649289091299E-3</v>
      </c>
      <c r="N259" s="2">
        <f t="shared" si="22"/>
        <v>0.22025443567908237</v>
      </c>
      <c r="O259" s="2">
        <f t="shared" si="23"/>
        <v>-2.2338692686985171</v>
      </c>
    </row>
    <row r="260" spans="1:15">
      <c r="A260" s="1" t="s">
        <v>0</v>
      </c>
      <c r="B260" s="16">
        <v>43410</v>
      </c>
      <c r="D260" s="2">
        <v>22.46</v>
      </c>
      <c r="E260" s="2">
        <v>22.695</v>
      </c>
      <c r="F260" s="2">
        <v>22.375</v>
      </c>
      <c r="G260" s="2">
        <v>22.454999999999998</v>
      </c>
      <c r="H260" s="2">
        <v>4321233</v>
      </c>
      <c r="I260" s="2">
        <v>22.454999999999998</v>
      </c>
      <c r="J260" s="2">
        <f t="shared" ref="J260:J269" si="24">(I260-I259)/I259</f>
        <v>-2.2261798753350659E-4</v>
      </c>
      <c r="K260" s="2">
        <f t="shared" ref="K260:K269" si="25">J260*S$13+J259*S$14</f>
        <v>6.5442150188923978E-4</v>
      </c>
      <c r="L260" s="2">
        <f t="shared" si="20"/>
        <v>-8.7703948942274639E-4</v>
      </c>
      <c r="M260" s="2">
        <f t="shared" si="21"/>
        <v>1.6800649288748835E-3</v>
      </c>
      <c r="N260" s="2">
        <f t="shared" si="22"/>
        <v>-1.915609216160467</v>
      </c>
      <c r="O260" s="2">
        <f t="shared" si="23"/>
        <v>-0.41595458051180229</v>
      </c>
    </row>
    <row r="261" spans="1:15">
      <c r="A261" s="1" t="s">
        <v>0</v>
      </c>
      <c r="B261" s="16">
        <v>43411</v>
      </c>
      <c r="D261" s="2">
        <v>22.675000000000001</v>
      </c>
      <c r="E261" s="2">
        <v>23.195</v>
      </c>
      <c r="F261" s="2">
        <v>22.524999999999999</v>
      </c>
      <c r="G261" s="2">
        <v>22.66</v>
      </c>
      <c r="H261" s="2">
        <v>4088040</v>
      </c>
      <c r="I261" s="2">
        <v>22.66</v>
      </c>
      <c r="J261" s="2">
        <f t="shared" si="24"/>
        <v>9.1293698508128195E-3</v>
      </c>
      <c r="K261" s="2">
        <f t="shared" si="25"/>
        <v>-1.8552071199095672E-5</v>
      </c>
      <c r="L261" s="2">
        <f t="shared" si="20"/>
        <v>9.1479219220119146E-3</v>
      </c>
      <c r="M261" s="2">
        <f t="shared" si="21"/>
        <v>1.6800649289243402E-3</v>
      </c>
      <c r="N261" s="2">
        <f t="shared" si="22"/>
        <v>0.18365536383533554</v>
      </c>
      <c r="O261" s="2">
        <f t="shared" si="23"/>
        <v>-0.44717685305713928</v>
      </c>
    </row>
    <row r="262" spans="1:15">
      <c r="A262" s="1" t="s">
        <v>0</v>
      </c>
      <c r="B262" s="16">
        <v>43412</v>
      </c>
      <c r="D262" s="2">
        <v>22.68</v>
      </c>
      <c r="E262" s="2">
        <v>22.94</v>
      </c>
      <c r="F262" s="2">
        <v>22.625</v>
      </c>
      <c r="G262" s="2">
        <v>22.8</v>
      </c>
      <c r="H262" s="2">
        <v>5130728</v>
      </c>
      <c r="I262" s="2">
        <v>22.8</v>
      </c>
      <c r="J262" s="2">
        <f t="shared" si="24"/>
        <v>6.1782877316858146E-3</v>
      </c>
      <c r="K262" s="2">
        <f t="shared" si="25"/>
        <v>7.6080428788201544E-4</v>
      </c>
      <c r="L262" s="2">
        <f t="shared" ref="L262:L269" si="26">J262-K262</f>
        <v>5.4174834438037991E-3</v>
      </c>
      <c r="M262" s="2">
        <f t="shared" ref="M262:M269" si="27">SQRT(S$9+S$10*L262^2+S$11*M261^2)</f>
        <v>1.6800649288919308E-3</v>
      </c>
      <c r="N262" s="2">
        <f t="shared" ref="N262:N269" si="28">M262/L262</f>
        <v>0.31011907028779034</v>
      </c>
      <c r="O262" s="2">
        <f t="shared" ref="O262:O269" si="29">-0.5*(N263^2)-LOG(2*PI())/2</f>
        <v>-0.40149997441145252</v>
      </c>
    </row>
    <row r="263" spans="1:15">
      <c r="A263" s="1" t="s">
        <v>0</v>
      </c>
      <c r="B263" s="16">
        <v>43413</v>
      </c>
      <c r="D263" s="2">
        <v>22.3</v>
      </c>
      <c r="E263" s="2">
        <v>22.5</v>
      </c>
      <c r="F263" s="2">
        <v>22.03</v>
      </c>
      <c r="G263" s="2">
        <v>22.26</v>
      </c>
      <c r="H263" s="2">
        <v>6309255</v>
      </c>
      <c r="I263" s="2">
        <v>22.26</v>
      </c>
      <c r="J263" s="2">
        <f t="shared" si="24"/>
        <v>-2.3684210526315752E-2</v>
      </c>
      <c r="K263" s="2">
        <f t="shared" si="25"/>
        <v>5.1487319221894812E-4</v>
      </c>
      <c r="L263" s="2">
        <f t="shared" si="26"/>
        <v>-2.41990837185347E-2</v>
      </c>
      <c r="M263" s="2">
        <f t="shared" si="27"/>
        <v>1.6800649292237173E-3</v>
      </c>
      <c r="N263" s="2">
        <f t="shared" si="28"/>
        <v>-6.9426799326989072E-2</v>
      </c>
      <c r="O263" s="2">
        <f t="shared" si="29"/>
        <v>-0.40230937562631086</v>
      </c>
    </row>
    <row r="264" spans="1:15">
      <c r="A264" s="1" t="s">
        <v>0</v>
      </c>
      <c r="B264" s="16">
        <v>43416</v>
      </c>
      <c r="D264" s="2">
        <v>22.59</v>
      </c>
      <c r="E264" s="2">
        <v>22.824999999999999</v>
      </c>
      <c r="F264" s="2">
        <v>21.71</v>
      </c>
      <c r="G264" s="2">
        <v>21.75</v>
      </c>
      <c r="H264" s="2">
        <v>4907980</v>
      </c>
      <c r="I264" s="2">
        <v>21.75</v>
      </c>
      <c r="J264" s="2">
        <f t="shared" si="24"/>
        <v>-2.2911051212938075E-2</v>
      </c>
      <c r="K264" s="2">
        <f t="shared" si="25"/>
        <v>-1.9737450906227765E-3</v>
      </c>
      <c r="L264" s="2">
        <f t="shared" si="26"/>
        <v>-2.09373061223153E-2</v>
      </c>
      <c r="M264" s="2">
        <f t="shared" si="27"/>
        <v>1.6800649291359015E-3</v>
      </c>
      <c r="N264" s="2">
        <f t="shared" si="28"/>
        <v>-8.0242650096483167E-2</v>
      </c>
      <c r="O264" s="2">
        <f t="shared" si="29"/>
        <v>-0.52276773321275172</v>
      </c>
    </row>
    <row r="265" spans="1:15">
      <c r="A265" s="1" t="s">
        <v>0</v>
      </c>
      <c r="B265" s="16">
        <v>43417</v>
      </c>
      <c r="D265" s="2">
        <v>21.954999999999998</v>
      </c>
      <c r="E265" s="2">
        <v>22.125</v>
      </c>
      <c r="F265" s="2">
        <v>21.18</v>
      </c>
      <c r="G265" s="2">
        <v>21.635000000000002</v>
      </c>
      <c r="H265" s="2">
        <v>5405849</v>
      </c>
      <c r="I265" s="2">
        <v>21.635000000000002</v>
      </c>
      <c r="J265" s="2">
        <f t="shared" si="24"/>
        <v>-5.2873563218390086E-3</v>
      </c>
      <c r="K265" s="2">
        <f t="shared" si="25"/>
        <v>-1.9093131604407299E-3</v>
      </c>
      <c r="L265" s="2">
        <f t="shared" si="26"/>
        <v>-3.3780431613982787E-3</v>
      </c>
      <c r="M265" s="2">
        <f t="shared" si="27"/>
        <v>1.6800649288812313E-3</v>
      </c>
      <c r="N265" s="2">
        <f t="shared" si="28"/>
        <v>-0.4973485679756085</v>
      </c>
      <c r="O265" s="2">
        <f t="shared" si="29"/>
        <v>-0.47157173795585894</v>
      </c>
    </row>
    <row r="266" spans="1:15">
      <c r="A266" s="1" t="s">
        <v>0</v>
      </c>
      <c r="B266" s="16">
        <v>43418</v>
      </c>
      <c r="D266" s="2">
        <v>21.45</v>
      </c>
      <c r="E266" s="2">
        <v>21.82</v>
      </c>
      <c r="F266" s="2">
        <v>20.93</v>
      </c>
      <c r="G266" s="2">
        <v>21.53</v>
      </c>
      <c r="H266" s="2">
        <v>5043715</v>
      </c>
      <c r="I266" s="2">
        <v>21.53</v>
      </c>
      <c r="J266" s="2">
        <f t="shared" si="24"/>
        <v>-4.8532470533857366E-3</v>
      </c>
      <c r="K266" s="2">
        <f t="shared" si="25"/>
        <v>-4.4062661793212919E-4</v>
      </c>
      <c r="L266" s="2">
        <f t="shared" si="26"/>
        <v>-4.4126204354536071E-3</v>
      </c>
      <c r="M266" s="2">
        <f t="shared" si="27"/>
        <v>1.6800649288860388E-3</v>
      </c>
      <c r="N266" s="2">
        <f t="shared" si="28"/>
        <v>-0.38074086667128715</v>
      </c>
      <c r="O266" s="2">
        <f t="shared" si="29"/>
        <v>-0.40966617606987887</v>
      </c>
    </row>
    <row r="267" spans="1:15">
      <c r="A267" s="1" t="s">
        <v>0</v>
      </c>
      <c r="B267" s="16">
        <v>43419</v>
      </c>
      <c r="D267" s="2">
        <v>21.745000000000001</v>
      </c>
      <c r="E267" s="2">
        <v>22.09</v>
      </c>
      <c r="F267" s="2">
        <v>21.39</v>
      </c>
      <c r="G267" s="2">
        <v>21.77</v>
      </c>
      <c r="H267" s="2">
        <v>4477746</v>
      </c>
      <c r="I267" s="2">
        <v>21.77</v>
      </c>
      <c r="J267" s="2">
        <f t="shared" si="24"/>
        <v>1.1147236414305546E-2</v>
      </c>
      <c r="K267" s="2">
        <f t="shared" si="25"/>
        <v>-4.0444972968620396E-4</v>
      </c>
      <c r="L267" s="2">
        <f t="shared" si="26"/>
        <v>1.1551686143991749E-2</v>
      </c>
      <c r="M267" s="2">
        <f t="shared" si="27"/>
        <v>1.680064928954019E-3</v>
      </c>
      <c r="N267" s="2">
        <f t="shared" si="28"/>
        <v>0.1454389348889861</v>
      </c>
      <c r="O267" s="2">
        <f t="shared" si="29"/>
        <v>-1.4503881736093767</v>
      </c>
    </row>
    <row r="268" spans="1:15">
      <c r="A268" s="1" t="s">
        <v>0</v>
      </c>
      <c r="B268" s="16">
        <v>43420</v>
      </c>
      <c r="D268" s="2">
        <v>21.855</v>
      </c>
      <c r="E268" s="2">
        <v>21.995000000000001</v>
      </c>
      <c r="F268" s="2">
        <v>21.495000000000001</v>
      </c>
      <c r="G268" s="2">
        <v>21.765000000000001</v>
      </c>
      <c r="H268" s="2">
        <v>5463017</v>
      </c>
      <c r="I268" s="2">
        <v>21.765000000000001</v>
      </c>
      <c r="J268" s="2">
        <f t="shared" si="24"/>
        <v>-2.2967386311433189E-4</v>
      </c>
      <c r="K268" s="2">
        <f t="shared" si="25"/>
        <v>9.2896502175154199E-4</v>
      </c>
      <c r="L268" s="2">
        <f t="shared" si="26"/>
        <v>-1.158638884865874E-3</v>
      </c>
      <c r="M268" s="2">
        <f t="shared" si="27"/>
        <v>1.6800649288752254E-3</v>
      </c>
      <c r="N268" s="2">
        <f t="shared" si="28"/>
        <v>-1.4500332681909882</v>
      </c>
      <c r="O268" s="2">
        <f t="shared" si="29"/>
        <v>-0.48239746064997285</v>
      </c>
    </row>
    <row r="269" spans="1:15">
      <c r="A269" s="1" t="s">
        <v>0</v>
      </c>
      <c r="B269" s="16">
        <v>43423</v>
      </c>
      <c r="D269" s="2">
        <v>21.93</v>
      </c>
      <c r="E269" s="2">
        <v>22.22</v>
      </c>
      <c r="F269" s="2">
        <v>21.6</v>
      </c>
      <c r="G269" s="2">
        <v>21.675000000000001</v>
      </c>
      <c r="H269" s="2">
        <v>3754166</v>
      </c>
      <c r="I269" s="2">
        <v>21.675000000000001</v>
      </c>
      <c r="J269" s="2">
        <f t="shared" si="24"/>
        <v>-4.1350792556857276E-3</v>
      </c>
      <c r="K269" s="2">
        <f t="shared" si="25"/>
        <v>-1.9140078967909634E-5</v>
      </c>
      <c r="L269" s="2">
        <f t="shared" si="26"/>
        <v>-4.1159391767178182E-3</v>
      </c>
      <c r="M269" s="2">
        <f t="shared" si="27"/>
        <v>1.6800649288845296E-3</v>
      </c>
      <c r="N269" s="2">
        <f t="shared" si="28"/>
        <v>-0.40818507192428127</v>
      </c>
      <c r="O269" s="2">
        <f t="shared" si="29"/>
        <v>-0.39908993417905753</v>
      </c>
    </row>
    <row r="279" spans="5:5">
      <c r="E279" s="14"/>
    </row>
  </sheetData>
  <mergeCells count="2">
    <mergeCell ref="S5:V5"/>
    <mergeCell ref="R1:V2"/>
  </mergeCells>
  <hyperlinks>
    <hyperlink ref="S5" r:id="rId1" display="https://www.abcbourse.com/download/download.aspx?s=MTp" xr:uid="{6336AA91-1FE3-4F47-8517-4CD81194B2E4}"/>
  </hyperlinks>
  <pageMargins left="0.78740157499999996" right="0.78740157499999996" top="0.984251969" bottom="0.984251969" header="0.4921259845" footer="0.492125984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utomatic_Solv.ClearCell">
                <anchor moveWithCells="1" sizeWithCells="1">
                  <from>
                    <xdr:col>19</xdr:col>
                    <xdr:colOff>381000</xdr:colOff>
                    <xdr:row>7</xdr:row>
                    <xdr:rowOff>88900</xdr:rowOff>
                  </from>
                  <to>
                    <xdr:col>21</xdr:col>
                    <xdr:colOff>723900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utomatic_Solv.Automatic_Solv">
                <anchor moveWithCells="1" sizeWithCells="1">
                  <from>
                    <xdr:col>19</xdr:col>
                    <xdr:colOff>393700</xdr:colOff>
                    <xdr:row>11</xdr:row>
                    <xdr:rowOff>127000</xdr:rowOff>
                  </from>
                  <to>
                    <xdr:col>21</xdr:col>
                    <xdr:colOff>736600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9707D-0317-D946-9E9B-3D5D62BB012D}">
  <sheetPr codeName="Feuil2"/>
  <dimension ref="A1:V271"/>
  <sheetViews>
    <sheetView zoomScale="92" workbookViewId="0">
      <selection activeCell="S35" sqref="S35"/>
    </sheetView>
  </sheetViews>
  <sheetFormatPr baseColWidth="10" defaultRowHeight="16"/>
  <cols>
    <col min="1" max="1" width="10.83203125" style="23"/>
    <col min="2" max="2" width="10.83203125" style="24"/>
    <col min="3" max="3" width="13.6640625" style="11" customWidth="1"/>
    <col min="4" max="4" width="13.1640625" style="24" customWidth="1"/>
    <col min="5" max="6" width="10.83203125" style="24"/>
    <col min="7" max="7" width="12.1640625" style="24" customWidth="1"/>
    <col min="8" max="8" width="10.83203125" style="24"/>
    <col min="9" max="9" width="14.33203125" style="24" customWidth="1"/>
    <col min="10" max="10" width="14" style="24" customWidth="1"/>
    <col min="11" max="11" width="14.83203125" style="24" customWidth="1"/>
    <col min="12" max="12" width="14.5" style="24" customWidth="1"/>
    <col min="14" max="14" width="13.5" customWidth="1"/>
    <col min="15" max="15" width="13" customWidth="1"/>
    <col min="16" max="16" width="17.5" customWidth="1"/>
    <col min="17" max="17" width="13.6640625" customWidth="1"/>
    <col min="18" max="18" width="9.33203125" customWidth="1"/>
    <col min="20" max="20" width="14.5" customWidth="1"/>
    <col min="21" max="21" width="13.1640625" style="58" bestFit="1" customWidth="1"/>
    <col min="22" max="22" width="16.33203125" customWidth="1"/>
  </cols>
  <sheetData>
    <row r="1" spans="1:22" ht="31" customHeight="1">
      <c r="A1" s="19" t="s">
        <v>23</v>
      </c>
      <c r="B1" s="18" t="s">
        <v>4</v>
      </c>
      <c r="C1" s="18" t="s">
        <v>8</v>
      </c>
      <c r="D1" s="25" t="s">
        <v>44</v>
      </c>
      <c r="E1" s="25" t="s">
        <v>24</v>
      </c>
      <c r="F1" s="25" t="s">
        <v>25</v>
      </c>
      <c r="G1" s="25" t="s">
        <v>26</v>
      </c>
      <c r="H1" s="25" t="s">
        <v>27</v>
      </c>
      <c r="I1" s="25" t="s">
        <v>28</v>
      </c>
      <c r="J1" s="25" t="s">
        <v>29</v>
      </c>
      <c r="K1" s="25" t="s">
        <v>37</v>
      </c>
      <c r="L1" s="25" t="s">
        <v>30</v>
      </c>
      <c r="N1" s="50"/>
      <c r="R1" s="50"/>
      <c r="S1" s="102" t="s">
        <v>55</v>
      </c>
      <c r="T1" s="102" t="s">
        <v>56</v>
      </c>
      <c r="U1" s="103" t="s">
        <v>57</v>
      </c>
      <c r="V1" s="104" t="s">
        <v>42</v>
      </c>
    </row>
    <row r="2" spans="1:22">
      <c r="A2" s="21">
        <v>43040</v>
      </c>
      <c r="B2" s="22">
        <v>25.31</v>
      </c>
      <c r="C2" s="80"/>
      <c r="D2" s="83"/>
      <c r="E2" s="83"/>
      <c r="F2" s="83"/>
      <c r="G2" s="83"/>
      <c r="H2" s="83"/>
      <c r="I2" s="83"/>
      <c r="J2" s="83"/>
      <c r="K2" s="83"/>
      <c r="L2" s="81"/>
      <c r="N2" s="53"/>
      <c r="R2" s="8"/>
      <c r="S2" s="105"/>
      <c r="T2" s="105"/>
      <c r="U2" s="106"/>
      <c r="V2" s="107"/>
    </row>
    <row r="3" spans="1:22">
      <c r="A3" s="21">
        <v>43041</v>
      </c>
      <c r="B3" s="22">
        <v>25.45</v>
      </c>
      <c r="C3" s="20">
        <v>5.5314105096799914E-3</v>
      </c>
      <c r="D3" s="80"/>
      <c r="E3" s="80"/>
      <c r="F3" s="80"/>
      <c r="G3" s="80"/>
      <c r="H3" s="80"/>
      <c r="I3" s="80"/>
      <c r="J3" s="80"/>
      <c r="K3" s="80"/>
      <c r="L3" s="82"/>
      <c r="R3" s="8"/>
      <c r="S3" s="105"/>
      <c r="T3" s="105"/>
      <c r="U3" s="106"/>
      <c r="V3" s="107"/>
    </row>
    <row r="4" spans="1:22">
      <c r="A4" s="21">
        <v>43042</v>
      </c>
      <c r="B4" s="22">
        <v>25.495000000000001</v>
      </c>
      <c r="C4" s="20">
        <v>1.7681728880157841E-3</v>
      </c>
      <c r="D4" s="84"/>
      <c r="E4" s="84"/>
      <c r="F4" s="84"/>
      <c r="G4" s="84"/>
      <c r="H4" s="84"/>
      <c r="I4" s="84"/>
      <c r="J4" s="84"/>
      <c r="K4" s="84"/>
      <c r="L4" s="85"/>
      <c r="R4" s="8"/>
      <c r="S4" s="105"/>
      <c r="T4" s="105"/>
      <c r="U4" s="106"/>
      <c r="V4" s="107"/>
    </row>
    <row r="5" spans="1:22">
      <c r="A5" s="21">
        <v>43045</v>
      </c>
      <c r="B5" s="22">
        <v>25.39</v>
      </c>
      <c r="C5" s="20">
        <v>-4.118454598940985E-3</v>
      </c>
      <c r="D5" s="79"/>
      <c r="E5" s="79"/>
      <c r="F5" s="79"/>
      <c r="G5" s="79"/>
      <c r="H5" s="79"/>
      <c r="I5" s="79"/>
      <c r="J5" s="79"/>
      <c r="K5" s="79"/>
      <c r="L5" s="79"/>
      <c r="M5" s="86"/>
      <c r="N5" s="9"/>
      <c r="O5" s="9"/>
      <c r="P5" s="9"/>
      <c r="Q5" s="9"/>
      <c r="R5" s="8"/>
      <c r="S5" s="105"/>
      <c r="T5" s="105"/>
      <c r="U5" s="106"/>
      <c r="V5" s="107"/>
    </row>
    <row r="6" spans="1:22">
      <c r="A6" s="21">
        <v>43046</v>
      </c>
      <c r="B6" s="22">
        <v>25.355</v>
      </c>
      <c r="C6" s="20">
        <v>-1.3784954706577447E-3</v>
      </c>
      <c r="D6" s="79"/>
      <c r="E6" s="79"/>
      <c r="F6" s="79"/>
      <c r="G6" s="79"/>
      <c r="H6" s="79"/>
      <c r="I6" s="79"/>
      <c r="J6" s="79"/>
      <c r="K6" s="79"/>
      <c r="L6" s="79"/>
      <c r="M6" s="86"/>
      <c r="N6" s="126" t="s">
        <v>32</v>
      </c>
      <c r="O6" s="127"/>
      <c r="P6" s="127"/>
      <c r="Q6" s="128"/>
      <c r="R6" s="8"/>
      <c r="S6" s="105"/>
      <c r="T6" s="105"/>
      <c r="U6" s="106"/>
      <c r="V6" s="107"/>
    </row>
    <row r="7" spans="1:22">
      <c r="A7" s="21">
        <v>43047</v>
      </c>
      <c r="B7" s="22">
        <v>25.175000000000001</v>
      </c>
      <c r="C7" s="20">
        <v>-7.0991914809702119E-3</v>
      </c>
      <c r="D7" s="55">
        <v>0</v>
      </c>
      <c r="E7" s="55">
        <v>0.29816544055938721</v>
      </c>
      <c r="F7" s="55">
        <v>0.62269669771194458</v>
      </c>
      <c r="G7" s="55">
        <v>0.49925610860192926</v>
      </c>
      <c r="H7" s="55">
        <v>-6.1689223179242481</v>
      </c>
      <c r="I7" s="55">
        <v>1.217845160909647</v>
      </c>
      <c r="J7" s="55">
        <v>2.5433804756184166</v>
      </c>
      <c r="K7" s="55">
        <v>-1</v>
      </c>
      <c r="L7" s="55" t="b">
        <v>1</v>
      </c>
      <c r="M7" s="86"/>
      <c r="N7" s="31"/>
      <c r="O7" s="32"/>
      <c r="P7" s="32"/>
      <c r="Q7" s="33"/>
      <c r="R7" s="8"/>
      <c r="S7" s="108">
        <v>-7.0991914809702119E-3</v>
      </c>
      <c r="T7" s="108">
        <v>-5.9134714899161986E-2</v>
      </c>
      <c r="U7" s="109">
        <v>7.3297816459347471</v>
      </c>
      <c r="V7" s="110" t="b">
        <v>1</v>
      </c>
    </row>
    <row r="8" spans="1:22">
      <c r="A8" s="21">
        <v>43048</v>
      </c>
      <c r="B8" s="22">
        <v>24.32</v>
      </c>
      <c r="C8" s="20">
        <v>-3.396226415094341E-2</v>
      </c>
      <c r="D8" s="55">
        <v>0</v>
      </c>
      <c r="E8" s="55">
        <v>1.217845160909647</v>
      </c>
      <c r="F8" s="55">
        <v>2.5433804756184166</v>
      </c>
      <c r="G8" s="55">
        <v>0.49696209876826553</v>
      </c>
      <c r="H8" s="55">
        <v>-5.9555396162100678</v>
      </c>
      <c r="I8" s="55">
        <v>4.8443077120132108</v>
      </c>
      <c r="J8" s="55">
        <v>10.116982066438759</v>
      </c>
      <c r="K8" s="55">
        <v>-1</v>
      </c>
      <c r="L8" s="55" t="b">
        <v>1</v>
      </c>
      <c r="M8" s="86"/>
      <c r="N8" s="34"/>
      <c r="O8" s="28"/>
      <c r="P8" s="28"/>
      <c r="Q8" s="35"/>
      <c r="R8" s="8"/>
      <c r="S8" s="108">
        <v>-3.396226415094341E-2</v>
      </c>
      <c r="T8" s="108">
        <v>-6.2201424819948656E-2</v>
      </c>
      <c r="U8" s="109">
        <v>0.83148639747626529</v>
      </c>
      <c r="V8" s="110" t="b">
        <v>1</v>
      </c>
    </row>
    <row r="9" spans="1:22" ht="19">
      <c r="A9" s="21">
        <v>43049</v>
      </c>
      <c r="B9" s="22">
        <v>25.14</v>
      </c>
      <c r="C9" s="20">
        <v>3.3717105263157909E-2</v>
      </c>
      <c r="D9" s="55">
        <v>1</v>
      </c>
      <c r="E9" s="55">
        <v>4.8443077120132108</v>
      </c>
      <c r="F9" s="55">
        <v>10.116982066438759</v>
      </c>
      <c r="G9" s="55">
        <v>0.44118700452564397</v>
      </c>
      <c r="H9" s="55">
        <v>-6.089270834294112</v>
      </c>
      <c r="I9" s="55">
        <v>19.593458543567252</v>
      </c>
      <c r="J9" s="55">
        <v>40.91950398055981</v>
      </c>
      <c r="K9" s="55">
        <v>-1</v>
      </c>
      <c r="L9" s="57" t="b">
        <v>0</v>
      </c>
      <c r="M9" s="86"/>
      <c r="N9" s="34"/>
      <c r="O9" s="28"/>
      <c r="P9" s="29"/>
      <c r="Q9" s="36"/>
      <c r="R9" s="8"/>
      <c r="S9" s="108">
        <v>3.3717105263157909E-2</v>
      </c>
      <c r="T9" s="108">
        <v>-5.4475093727273334E-2</v>
      </c>
      <c r="U9" s="109">
        <v>2.6156515603015693</v>
      </c>
      <c r="V9" s="111" t="b">
        <v>0</v>
      </c>
    </row>
    <row r="10" spans="1:22" ht="19">
      <c r="A10" s="21">
        <v>43052</v>
      </c>
      <c r="B10" s="22">
        <v>24.844999999999999</v>
      </c>
      <c r="C10" s="20">
        <v>-1.1734287987271349E-2</v>
      </c>
      <c r="D10" s="55">
        <v>0</v>
      </c>
      <c r="E10" s="55">
        <v>19.593458543567252</v>
      </c>
      <c r="F10" s="55">
        <v>40.91950398055981</v>
      </c>
      <c r="G10" s="55">
        <v>0.32539570387043781</v>
      </c>
      <c r="H10" s="55">
        <v>-5.3823802289582545</v>
      </c>
      <c r="I10" s="55">
        <v>72.323180484472033</v>
      </c>
      <c r="J10" s="55">
        <v>151.04166858243167</v>
      </c>
      <c r="K10" s="55">
        <v>-1</v>
      </c>
      <c r="L10" s="55" t="b">
        <v>1</v>
      </c>
      <c r="M10" s="86"/>
      <c r="N10" s="47" t="s">
        <v>36</v>
      </c>
      <c r="O10" s="30" t="s">
        <v>33</v>
      </c>
      <c r="P10" s="46">
        <f>A7</f>
        <v>43047</v>
      </c>
      <c r="Q10" s="36"/>
      <c r="R10" s="8"/>
      <c r="S10" s="108">
        <v>-1.1734287987271349E-2</v>
      </c>
      <c r="T10" s="108">
        <v>-5.9663861233771945E-2</v>
      </c>
      <c r="U10" s="109">
        <v>4.0845744793797216</v>
      </c>
      <c r="V10" s="110" t="b">
        <v>1</v>
      </c>
    </row>
    <row r="11" spans="1:22" ht="19">
      <c r="A11" s="21">
        <v>43053</v>
      </c>
      <c r="B11" s="22">
        <v>23.594999999999999</v>
      </c>
      <c r="C11" s="20">
        <v>-5.0311933990742609E-2</v>
      </c>
      <c r="D11" s="55">
        <v>0</v>
      </c>
      <c r="E11" s="55">
        <v>72.323180484472033</v>
      </c>
      <c r="F11" s="55">
        <v>151.04166858243167</v>
      </c>
      <c r="G11" s="55">
        <v>0.98585330880763811</v>
      </c>
      <c r="H11" s="55">
        <v>-0.31531987334588063</v>
      </c>
      <c r="I11" s="55">
        <v>83.725648539639522</v>
      </c>
      <c r="J11" s="55">
        <v>174.85488848611308</v>
      </c>
      <c r="K11" s="55">
        <v>1</v>
      </c>
      <c r="L11" s="57" t="b">
        <v>0</v>
      </c>
      <c r="M11" s="86"/>
      <c r="N11" s="48" t="s">
        <v>36</v>
      </c>
      <c r="O11" s="30" t="s">
        <v>34</v>
      </c>
      <c r="P11" s="46">
        <f>A269</f>
        <v>43423</v>
      </c>
      <c r="Q11" s="36"/>
      <c r="R11" s="8"/>
      <c r="S11" s="108">
        <v>-5.0311933990742609E-2</v>
      </c>
      <c r="T11" s="108">
        <v>-6.4067916241659459E-2</v>
      </c>
      <c r="U11" s="109">
        <v>0.27341390321922326</v>
      </c>
      <c r="V11" s="110" t="b">
        <v>1</v>
      </c>
    </row>
    <row r="12" spans="1:22">
      <c r="A12" s="21">
        <v>43054</v>
      </c>
      <c r="B12" s="22">
        <v>23.565000000000001</v>
      </c>
      <c r="C12" s="20">
        <v>-1.27145581691026E-3</v>
      </c>
      <c r="D12" s="55">
        <v>0</v>
      </c>
      <c r="E12" s="55">
        <v>83.725648539639522</v>
      </c>
      <c r="F12" s="55">
        <v>174.85488848611308</v>
      </c>
      <c r="G12" s="55">
        <v>1.899625813387366E-3</v>
      </c>
      <c r="H12" s="55">
        <v>-4.4676044423179885E-2</v>
      </c>
      <c r="I12" s="55">
        <v>85.595913936397764</v>
      </c>
      <c r="J12" s="55">
        <v>178.76080086892097</v>
      </c>
      <c r="K12" s="55">
        <v>-1</v>
      </c>
      <c r="L12" s="55" t="b">
        <v>1</v>
      </c>
      <c r="M12" s="86"/>
      <c r="N12" s="34"/>
      <c r="O12" s="28"/>
      <c r="P12" s="28"/>
      <c r="Q12" s="35"/>
      <c r="R12" s="8"/>
      <c r="S12" s="108">
        <v>-1.27145581691026E-3</v>
      </c>
      <c r="T12" s="108">
        <v>-5.8469415921779108E-2</v>
      </c>
      <c r="U12" s="109">
        <v>44.986195622482967</v>
      </c>
      <c r="V12" s="110" t="b">
        <v>1</v>
      </c>
    </row>
    <row r="13" spans="1:22">
      <c r="A13" s="21">
        <v>43055</v>
      </c>
      <c r="B13" s="22">
        <v>23.75</v>
      </c>
      <c r="C13" s="20">
        <v>7.8506259282834171E-3</v>
      </c>
      <c r="D13" s="55">
        <v>1</v>
      </c>
      <c r="E13" s="55">
        <v>85.595913936397764</v>
      </c>
      <c r="F13" s="55">
        <v>178.76080086892097</v>
      </c>
      <c r="G13" s="55">
        <v>1.1135977274530081E-4</v>
      </c>
      <c r="H13" s="55">
        <v>-2.6444876793569661E-3</v>
      </c>
      <c r="I13" s="55">
        <v>85.709092606301809</v>
      </c>
      <c r="J13" s="55">
        <v>178.99716623664588</v>
      </c>
      <c r="K13" s="55">
        <v>-1</v>
      </c>
      <c r="L13" s="57" t="b">
        <v>0</v>
      </c>
      <c r="M13" s="86"/>
      <c r="N13" s="34"/>
      <c r="O13" s="28"/>
      <c r="P13" s="28"/>
      <c r="Q13" s="35"/>
      <c r="R13" s="8"/>
      <c r="S13" s="108">
        <v>7.8506259282834171E-3</v>
      </c>
      <c r="T13" s="108">
        <v>-5.7428031753635089E-2</v>
      </c>
      <c r="U13" s="109">
        <v>8.3150895582401105</v>
      </c>
      <c r="V13" s="111" t="b">
        <v>0</v>
      </c>
    </row>
    <row r="14" spans="1:22">
      <c r="A14" s="21">
        <v>43056</v>
      </c>
      <c r="B14" s="22">
        <v>23.66</v>
      </c>
      <c r="C14" s="20">
        <v>-3.7894736842105205E-3</v>
      </c>
      <c r="D14" s="55">
        <v>0</v>
      </c>
      <c r="E14" s="55">
        <v>85.709092606301809</v>
      </c>
      <c r="F14" s="55">
        <v>178.99716623664588</v>
      </c>
      <c r="G14" s="55">
        <v>0.60951715009539997</v>
      </c>
      <c r="H14" s="55">
        <v>-5.4861530790677442</v>
      </c>
      <c r="I14" s="55">
        <v>320.81569375938437</v>
      </c>
      <c r="J14" s="55">
        <v>670.00009358343368</v>
      </c>
      <c r="K14" s="55">
        <v>1</v>
      </c>
      <c r="L14" s="57" t="b">
        <v>0</v>
      </c>
      <c r="M14" s="86"/>
      <c r="N14" s="34"/>
      <c r="O14" s="28"/>
      <c r="P14" s="28"/>
      <c r="Q14" s="35"/>
      <c r="R14" s="8"/>
      <c r="S14" s="108">
        <v>-3.7894736842105205E-3</v>
      </c>
      <c r="T14" s="108">
        <v>-5.8756874861016516E-2</v>
      </c>
      <c r="U14" s="109">
        <v>14.505286421657159</v>
      </c>
      <c r="V14" s="110" t="b">
        <v>1</v>
      </c>
    </row>
    <row r="15" spans="1:22">
      <c r="A15" s="21">
        <v>43059</v>
      </c>
      <c r="B15" s="22">
        <v>23.96</v>
      </c>
      <c r="C15" s="20">
        <v>1.2679628064243479E-2</v>
      </c>
      <c r="D15" s="55">
        <v>1</v>
      </c>
      <c r="E15" s="55">
        <v>320.81569375938437</v>
      </c>
      <c r="F15" s="55">
        <v>670.00009358343368</v>
      </c>
      <c r="G15" s="55">
        <v>0.98277803145677001</v>
      </c>
      <c r="H15" s="55">
        <v>-0.38889803721905764</v>
      </c>
      <c r="I15" s="55">
        <v>383.19799056543178</v>
      </c>
      <c r="J15" s="55">
        <v>800.28095424902483</v>
      </c>
      <c r="K15" s="55">
        <v>1</v>
      </c>
      <c r="L15" s="55" t="b">
        <v>1</v>
      </c>
      <c r="M15" s="86"/>
      <c r="N15" s="37"/>
      <c r="O15" s="38"/>
      <c r="P15" s="38"/>
      <c r="Q15" s="39"/>
      <c r="R15" s="8"/>
      <c r="S15" s="108">
        <v>1.2679628064243479E-2</v>
      </c>
      <c r="T15" s="108">
        <v>-5.6876748996826633E-2</v>
      </c>
      <c r="U15" s="109">
        <v>5.4856796042163829</v>
      </c>
      <c r="V15" s="111" t="b">
        <v>0</v>
      </c>
    </row>
    <row r="16" spans="1:22">
      <c r="A16" s="21">
        <v>43060</v>
      </c>
      <c r="B16" s="22">
        <v>24.54</v>
      </c>
      <c r="C16" s="20">
        <v>2.42070116861435E-2</v>
      </c>
      <c r="D16" s="55">
        <v>1</v>
      </c>
      <c r="E16" s="55">
        <v>383.19799056543178</v>
      </c>
      <c r="F16" s="55">
        <v>800.28095424902483</v>
      </c>
      <c r="G16" s="55">
        <v>0.86130416091059636</v>
      </c>
      <c r="H16" s="55">
        <v>-2.8286405081959942</v>
      </c>
      <c r="I16" s="55">
        <v>925.16266995177511</v>
      </c>
      <c r="J16" s="55">
        <v>1932.1345168122934</v>
      </c>
      <c r="K16" s="55">
        <v>1</v>
      </c>
      <c r="L16" s="55" t="b">
        <v>1</v>
      </c>
      <c r="M16" s="86"/>
      <c r="N16" s="9"/>
      <c r="O16" s="9"/>
      <c r="P16" s="9"/>
      <c r="Q16" s="9"/>
      <c r="R16" s="8"/>
      <c r="S16" s="108">
        <v>2.42070116861435E-2</v>
      </c>
      <c r="T16" s="108">
        <v>-5.5560773637332139E-2</v>
      </c>
      <c r="U16" s="109">
        <v>3.2952347178456587</v>
      </c>
      <c r="V16" s="111" t="b">
        <v>0</v>
      </c>
    </row>
    <row r="17" spans="1:22" ht="19" customHeight="1">
      <c r="A17" s="21">
        <v>43061</v>
      </c>
      <c r="B17" s="22">
        <v>24.745000000000001</v>
      </c>
      <c r="C17" s="20">
        <v>8.3537082314589176E-3</v>
      </c>
      <c r="D17" s="55">
        <v>1</v>
      </c>
      <c r="E17" s="55">
        <v>925.16266995177511</v>
      </c>
      <c r="F17" s="55">
        <v>1932.1345168122934</v>
      </c>
      <c r="G17" s="55">
        <v>1</v>
      </c>
      <c r="H17" s="55">
        <v>0</v>
      </c>
      <c r="I17" s="55">
        <v>925.16266995177511</v>
      </c>
      <c r="J17" s="55">
        <v>1932.1345168122934</v>
      </c>
      <c r="K17" s="55">
        <v>1</v>
      </c>
      <c r="L17" s="55" t="b">
        <v>1</v>
      </c>
      <c r="M17" s="86"/>
      <c r="N17" s="49" t="s">
        <v>31</v>
      </c>
      <c r="O17" s="52">
        <v>0.53816793893129766</v>
      </c>
      <c r="P17" s="9"/>
      <c r="Q17" s="9"/>
      <c r="R17" s="8"/>
      <c r="S17" s="108">
        <v>8.3537082314589176E-3</v>
      </c>
      <c r="T17" s="108">
        <v>-5.7370599474421365E-2</v>
      </c>
      <c r="U17" s="109">
        <v>7.867680541962379</v>
      </c>
      <c r="V17" s="111" t="b">
        <v>0</v>
      </c>
    </row>
    <row r="18" spans="1:22" ht="17" customHeight="1">
      <c r="A18" s="21">
        <v>43062</v>
      </c>
      <c r="B18" s="22">
        <v>24.82</v>
      </c>
      <c r="C18" s="20">
        <v>3.0309153364315735E-3</v>
      </c>
      <c r="D18" s="55">
        <v>1</v>
      </c>
      <c r="E18" s="55">
        <v>925.16266995177511</v>
      </c>
      <c r="F18" s="55">
        <v>1932.1345168122934</v>
      </c>
      <c r="G18" s="55">
        <v>1</v>
      </c>
      <c r="H18" s="55">
        <v>0</v>
      </c>
      <c r="I18" s="55">
        <v>925.16266995177511</v>
      </c>
      <c r="J18" s="55">
        <v>1932.1345168122934</v>
      </c>
      <c r="K18" s="55">
        <v>1</v>
      </c>
      <c r="L18" s="55" t="b">
        <v>1</v>
      </c>
      <c r="M18" s="86"/>
      <c r="N18" s="50"/>
      <c r="O18" s="51"/>
      <c r="P18" s="9"/>
      <c r="Q18" s="9"/>
      <c r="R18" s="8"/>
      <c r="S18" s="108">
        <v>3.0309153364315735E-3</v>
      </c>
      <c r="T18" s="108">
        <v>-5.7978253780316125E-2</v>
      </c>
      <c r="U18" s="109">
        <v>20.128958530585816</v>
      </c>
      <c r="V18" s="111" t="b">
        <v>0</v>
      </c>
    </row>
    <row r="19" spans="1:22">
      <c r="A19" s="21">
        <v>43063</v>
      </c>
      <c r="B19" s="22">
        <v>24.76</v>
      </c>
      <c r="C19" s="20">
        <v>-2.4174053182916488E-3</v>
      </c>
      <c r="D19" s="55">
        <v>0</v>
      </c>
      <c r="E19" s="55">
        <v>925.16266995177511</v>
      </c>
      <c r="F19" s="55">
        <v>1932.1345168122934</v>
      </c>
      <c r="G19" s="55">
        <v>0.99999999407791795</v>
      </c>
      <c r="H19" s="55">
        <v>-1.4070866863783432E-7</v>
      </c>
      <c r="I19" s="55">
        <v>925.16273504097887</v>
      </c>
      <c r="J19" s="55">
        <v>1932.1346527463311</v>
      </c>
      <c r="K19" s="55">
        <v>1</v>
      </c>
      <c r="L19" s="57" t="b">
        <v>0</v>
      </c>
      <c r="M19" s="86"/>
      <c r="N19" s="9"/>
      <c r="O19" s="9"/>
      <c r="P19" s="9"/>
      <c r="Q19" s="9"/>
      <c r="R19" s="8"/>
      <c r="S19" s="108">
        <v>-2.4174053182916488E-3</v>
      </c>
      <c r="T19" s="108">
        <v>-5.860023843593383E-2</v>
      </c>
      <c r="U19" s="109">
        <v>23.240965299665145</v>
      </c>
      <c r="V19" s="110" t="b">
        <v>1</v>
      </c>
    </row>
    <row r="20" spans="1:22">
      <c r="A20" s="21">
        <v>43066</v>
      </c>
      <c r="B20" s="22">
        <v>24.78</v>
      </c>
      <c r="C20" s="20">
        <v>8.0775444264941727E-4</v>
      </c>
      <c r="D20" s="55">
        <v>1</v>
      </c>
      <c r="E20" s="55">
        <v>925.16273504097887</v>
      </c>
      <c r="F20" s="55">
        <v>1932.1346527463311</v>
      </c>
      <c r="G20" s="55">
        <v>0.97390686017361983</v>
      </c>
      <c r="H20" s="55">
        <v>-0.60496729217643475</v>
      </c>
      <c r="I20" s="55">
        <v>1205.0093323611216</v>
      </c>
      <c r="J20" s="55">
        <v>2516.5737872424329</v>
      </c>
      <c r="K20" s="55">
        <v>1</v>
      </c>
      <c r="L20" s="55" t="b">
        <v>1</v>
      </c>
      <c r="M20" s="86"/>
      <c r="N20" s="9"/>
      <c r="O20" s="9"/>
      <c r="P20" s="9"/>
      <c r="Q20" s="9"/>
      <c r="R20" s="8"/>
      <c r="S20" s="108">
        <v>8.0775444264941727E-4</v>
      </c>
      <c r="T20" s="108">
        <v>-5.8232051610974847E-2</v>
      </c>
      <c r="U20" s="109">
        <v>73.091279894388407</v>
      </c>
      <c r="V20" s="111" t="b">
        <v>0</v>
      </c>
    </row>
    <row r="21" spans="1:22">
      <c r="A21" s="21">
        <v>43067</v>
      </c>
      <c r="B21" s="22">
        <v>25.055</v>
      </c>
      <c r="C21" s="20">
        <v>1.1097659402744091E-2</v>
      </c>
      <c r="D21" s="55">
        <v>1</v>
      </c>
      <c r="E21" s="55">
        <v>1205.0093323611216</v>
      </c>
      <c r="F21" s="55">
        <v>2516.5737872424329</v>
      </c>
      <c r="G21" s="55">
        <v>5.9985122961103638E-3</v>
      </c>
      <c r="H21" s="55">
        <v>-0.14935542650624456</v>
      </c>
      <c r="I21" s="55">
        <v>1294.9966737505217</v>
      </c>
      <c r="J21" s="55">
        <v>2704.5057629064472</v>
      </c>
      <c r="K21" s="55">
        <v>-1</v>
      </c>
      <c r="L21" s="57" t="b">
        <v>0</v>
      </c>
      <c r="M21" s="86"/>
      <c r="N21" s="9"/>
      <c r="O21" s="9"/>
      <c r="P21" s="9"/>
      <c r="Q21" s="9"/>
      <c r="R21" s="8"/>
      <c r="S21" s="108">
        <v>1.1097659402744091E-2</v>
      </c>
      <c r="T21" s="108">
        <v>-5.7057347807997497E-2</v>
      </c>
      <c r="U21" s="109">
        <v>6.141385740662491</v>
      </c>
      <c r="V21" s="111" t="b">
        <v>0</v>
      </c>
    </row>
    <row r="22" spans="1:22">
      <c r="A22" s="21">
        <v>43068</v>
      </c>
      <c r="B22" s="22">
        <v>25.704999999999998</v>
      </c>
      <c r="C22" s="20">
        <v>2.5942925563759673E-2</v>
      </c>
      <c r="D22" s="55">
        <v>1</v>
      </c>
      <c r="E22" s="55">
        <v>1294.9966737505217</v>
      </c>
      <c r="F22" s="55">
        <v>2704.5057629064472</v>
      </c>
      <c r="G22" s="55">
        <v>0.99999993546180532</v>
      </c>
      <c r="H22" s="55">
        <v>-1.5944160007679454E-6</v>
      </c>
      <c r="I22" s="55">
        <v>1294.9977061322304</v>
      </c>
      <c r="J22" s="55">
        <v>2704.5079189600783</v>
      </c>
      <c r="K22" s="55">
        <v>1</v>
      </c>
      <c r="L22" s="55" t="b">
        <v>1</v>
      </c>
      <c r="M22" s="86"/>
      <c r="N22" s="129" t="s">
        <v>38</v>
      </c>
      <c r="O22" s="130"/>
      <c r="P22" s="130"/>
      <c r="Q22" s="130"/>
      <c r="R22" s="8"/>
      <c r="S22" s="108">
        <v>2.5942925563759673E-2</v>
      </c>
      <c r="T22" s="108">
        <v>-5.5362600316821886E-2</v>
      </c>
      <c r="U22" s="109">
        <v>3.1340153091353464</v>
      </c>
      <c r="V22" s="111" t="b">
        <v>0</v>
      </c>
    </row>
    <row r="23" spans="1:22">
      <c r="A23" s="21">
        <v>43069</v>
      </c>
      <c r="B23" s="22">
        <v>25.364999999999998</v>
      </c>
      <c r="C23" s="20">
        <v>-1.3226998638397195E-2</v>
      </c>
      <c r="D23" s="55">
        <v>0</v>
      </c>
      <c r="E23" s="55">
        <v>1294.9977061322304</v>
      </c>
      <c r="F23" s="55">
        <v>2704.5079189600783</v>
      </c>
      <c r="G23" s="55">
        <v>1</v>
      </c>
      <c r="H23" s="55">
        <v>0</v>
      </c>
      <c r="I23" s="55">
        <v>1294.9977061322304</v>
      </c>
      <c r="J23" s="55">
        <v>2704.5079189600783</v>
      </c>
      <c r="K23" s="55">
        <v>1</v>
      </c>
      <c r="L23" s="57" t="b">
        <v>0</v>
      </c>
      <c r="M23" s="86"/>
      <c r="N23" s="123" t="s">
        <v>39</v>
      </c>
      <c r="O23" s="123"/>
      <c r="P23" s="123"/>
      <c r="Q23" s="123"/>
      <c r="R23" s="8"/>
      <c r="S23" s="108">
        <v>-1.3226998638397195E-2</v>
      </c>
      <c r="T23" s="108">
        <v>-5.9834270278891655E-2</v>
      </c>
      <c r="U23" s="109">
        <v>3.5236468162320898</v>
      </c>
      <c r="V23" s="110" t="b">
        <v>1</v>
      </c>
    </row>
    <row r="24" spans="1:22">
      <c r="A24" s="21">
        <v>43070</v>
      </c>
      <c r="B24" s="22">
        <v>25.51</v>
      </c>
      <c r="C24" s="20">
        <v>5.7165385373547459E-3</v>
      </c>
      <c r="D24" s="55">
        <v>1</v>
      </c>
      <c r="E24" s="55">
        <v>1294.9977061322304</v>
      </c>
      <c r="F24" s="55">
        <v>2704.5079189600783</v>
      </c>
      <c r="G24" s="55">
        <v>1</v>
      </c>
      <c r="H24" s="55">
        <v>0</v>
      </c>
      <c r="I24" s="55">
        <v>1294.9977061322304</v>
      </c>
      <c r="J24" s="55">
        <v>2704.5079189600783</v>
      </c>
      <c r="K24" s="55">
        <v>1</v>
      </c>
      <c r="L24" s="55" t="b">
        <v>1</v>
      </c>
      <c r="M24" s="86"/>
      <c r="N24" s="123"/>
      <c r="O24" s="123"/>
      <c r="P24" s="123"/>
      <c r="Q24" s="123"/>
      <c r="R24" s="8"/>
      <c r="S24" s="108">
        <v>5.7165385373547459E-3</v>
      </c>
      <c r="T24" s="108">
        <v>-5.7671660881769123E-2</v>
      </c>
      <c r="U24" s="109">
        <v>11.088563298386498</v>
      </c>
      <c r="V24" s="111" t="b">
        <v>0</v>
      </c>
    </row>
    <row r="25" spans="1:22">
      <c r="A25" s="21">
        <v>43073</v>
      </c>
      <c r="B25" s="22">
        <v>26.2</v>
      </c>
      <c r="C25" s="20">
        <v>2.7048216385730996E-2</v>
      </c>
      <c r="D25" s="55">
        <v>1</v>
      </c>
      <c r="E25" s="55">
        <v>1294.9977061322304</v>
      </c>
      <c r="F25" s="55">
        <v>2704.5079189600783</v>
      </c>
      <c r="G25" s="55">
        <v>4.7778370313629621E-13</v>
      </c>
      <c r="H25" s="55">
        <v>-1.2517933022164752E-11</v>
      </c>
      <c r="I25" s="55">
        <v>1294.9977061403358</v>
      </c>
      <c r="J25" s="55">
        <v>2704.5079189770058</v>
      </c>
      <c r="K25" s="55">
        <v>-1</v>
      </c>
      <c r="L25" s="57" t="b">
        <v>0</v>
      </c>
      <c r="M25" s="86"/>
      <c r="N25" s="123"/>
      <c r="O25" s="123"/>
      <c r="P25" s="123"/>
      <c r="Q25" s="123"/>
      <c r="R25" s="8"/>
      <c r="S25" s="108">
        <v>2.7048216385730996E-2</v>
      </c>
      <c r="T25" s="108">
        <v>-5.523641943011779E-2</v>
      </c>
      <c r="U25" s="109">
        <v>3.0421464632787094</v>
      </c>
      <c r="V25" s="111" t="b">
        <v>0</v>
      </c>
    </row>
    <row r="26" spans="1:22">
      <c r="A26" s="21">
        <v>43074</v>
      </c>
      <c r="B26" s="22">
        <v>25.72</v>
      </c>
      <c r="C26" s="20">
        <v>-1.8320610687022919E-2</v>
      </c>
      <c r="D26" s="55">
        <v>0</v>
      </c>
      <c r="E26" s="55">
        <v>1294.9977061403358</v>
      </c>
      <c r="F26" s="55">
        <v>2704.5079189770058</v>
      </c>
      <c r="G26" s="55">
        <v>1</v>
      </c>
      <c r="H26" s="55">
        <v>0</v>
      </c>
      <c r="I26" s="55">
        <v>1294.9977061403358</v>
      </c>
      <c r="J26" s="55">
        <v>2704.5079189770058</v>
      </c>
      <c r="K26" s="55">
        <v>1</v>
      </c>
      <c r="L26" s="57" t="b">
        <v>0</v>
      </c>
      <c r="M26" s="86"/>
      <c r="N26" s="123"/>
      <c r="O26" s="123"/>
      <c r="P26" s="123"/>
      <c r="Q26" s="123"/>
      <c r="R26" s="8"/>
      <c r="S26" s="108">
        <v>-1.8320610687022919E-2</v>
      </c>
      <c r="T26" s="108">
        <v>-6.0415761115553065E-2</v>
      </c>
      <c r="U26" s="109">
        <v>2.2976936275572681</v>
      </c>
      <c r="V26" s="110" t="b">
        <v>1</v>
      </c>
    </row>
    <row r="27" spans="1:22">
      <c r="A27" s="21">
        <v>43075</v>
      </c>
      <c r="B27" s="22">
        <v>26.18</v>
      </c>
      <c r="C27" s="20">
        <v>1.7884914463452601E-2</v>
      </c>
      <c r="D27" s="55">
        <v>1</v>
      </c>
      <c r="E27" s="55">
        <v>1294.9977061403358</v>
      </c>
      <c r="F27" s="55">
        <v>2704.5079189770058</v>
      </c>
      <c r="G27" s="55">
        <v>1</v>
      </c>
      <c r="H27" s="55">
        <v>0</v>
      </c>
      <c r="I27" s="55">
        <v>1294.9977061403358</v>
      </c>
      <c r="J27" s="55">
        <v>2704.5079189770058</v>
      </c>
      <c r="K27" s="55">
        <v>1</v>
      </c>
      <c r="L27" s="55" t="b">
        <v>1</v>
      </c>
      <c r="M27" s="86"/>
      <c r="N27" s="131" t="s">
        <v>40</v>
      </c>
      <c r="O27" s="131"/>
      <c r="P27" s="131"/>
      <c r="Q27" s="60">
        <v>5</v>
      </c>
      <c r="R27" s="8"/>
      <c r="S27" s="108">
        <v>1.7884914463452601E-2</v>
      </c>
      <c r="T27" s="108">
        <v>-5.6282509326737298E-2</v>
      </c>
      <c r="U27" s="109">
        <v>4.1469263910514789</v>
      </c>
      <c r="V27" s="111" t="b">
        <v>0</v>
      </c>
    </row>
    <row r="28" spans="1:22">
      <c r="A28" s="21">
        <v>43076</v>
      </c>
      <c r="B28" s="22">
        <v>26.2</v>
      </c>
      <c r="C28" s="20">
        <v>7.6394194041251237E-4</v>
      </c>
      <c r="D28" s="55">
        <v>1</v>
      </c>
      <c r="E28" s="55">
        <v>1294.9977061403358</v>
      </c>
      <c r="F28" s="55">
        <v>2704.5079189770058</v>
      </c>
      <c r="G28" s="55">
        <v>3.4684494061255094E-12</v>
      </c>
      <c r="H28" s="55">
        <v>-9.0873374440161119E-11</v>
      </c>
      <c r="I28" s="55">
        <v>1294.9977061991763</v>
      </c>
      <c r="J28" s="55">
        <v>2704.5079190998899</v>
      </c>
      <c r="K28" s="55">
        <v>-1</v>
      </c>
      <c r="L28" s="57" t="b">
        <v>0</v>
      </c>
      <c r="M28" s="86"/>
      <c r="N28" s="62"/>
      <c r="O28" s="63"/>
      <c r="P28" s="63"/>
      <c r="Q28" s="64"/>
      <c r="R28" s="8"/>
      <c r="S28" s="108">
        <v>7.6394194041251237E-4</v>
      </c>
      <c r="T28" s="108">
        <v>-5.8237053281368814E-2</v>
      </c>
      <c r="U28" s="109">
        <v>77.232302745313405</v>
      </c>
      <c r="V28" s="111" t="b">
        <v>0</v>
      </c>
    </row>
    <row r="29" spans="1:22">
      <c r="A29" s="21">
        <v>43077</v>
      </c>
      <c r="B29" s="22">
        <v>26.454999999999998</v>
      </c>
      <c r="C29" s="20">
        <v>9.7328244274808781E-3</v>
      </c>
      <c r="D29" s="55">
        <v>1</v>
      </c>
      <c r="E29" s="55">
        <v>1294.9977061991763</v>
      </c>
      <c r="F29" s="55">
        <v>2704.5079190998899</v>
      </c>
      <c r="G29" s="55">
        <v>1</v>
      </c>
      <c r="H29" s="55">
        <v>0</v>
      </c>
      <c r="I29" s="55">
        <v>1294.9977061991763</v>
      </c>
      <c r="J29" s="55">
        <v>2704.5079190998899</v>
      </c>
      <c r="K29" s="55">
        <v>1</v>
      </c>
      <c r="L29" s="55" t="b">
        <v>1</v>
      </c>
      <c r="M29" s="86"/>
      <c r="N29" s="65"/>
      <c r="O29" s="66"/>
      <c r="P29" s="66"/>
      <c r="Q29" s="67"/>
      <c r="R29" s="8"/>
      <c r="S29" s="108">
        <v>9.7328244274808781E-3</v>
      </c>
      <c r="T29" s="108">
        <v>-5.7213158463401595E-2</v>
      </c>
      <c r="U29" s="109">
        <v>6.878371575455402</v>
      </c>
      <c r="V29" s="111" t="b">
        <v>0</v>
      </c>
    </row>
    <row r="30" spans="1:22">
      <c r="A30" s="21">
        <v>43080</v>
      </c>
      <c r="B30" s="22">
        <v>26.79</v>
      </c>
      <c r="C30" s="20">
        <v>1.2663012663012696E-2</v>
      </c>
      <c r="D30" s="55">
        <v>1</v>
      </c>
      <c r="E30" s="55">
        <v>1294.9977061991763</v>
      </c>
      <c r="F30" s="55">
        <v>2704.5079190998899</v>
      </c>
      <c r="G30" s="55">
        <v>0.99999957453058064</v>
      </c>
      <c r="H30" s="55">
        <v>-1.0972851837776826E-5</v>
      </c>
      <c r="I30" s="55">
        <v>1295.0048111081564</v>
      </c>
      <c r="J30" s="55">
        <v>2704.5227571822352</v>
      </c>
      <c r="K30" s="55">
        <v>1</v>
      </c>
      <c r="L30" s="55" t="b">
        <v>1</v>
      </c>
      <c r="M30" s="86"/>
      <c r="N30" s="125" t="s">
        <v>41</v>
      </c>
      <c r="O30" s="125"/>
      <c r="P30" s="61">
        <v>0.43478260869565216</v>
      </c>
      <c r="Q30" s="59"/>
      <c r="R30" s="8"/>
      <c r="S30" s="108">
        <v>1.2663012663012696E-2</v>
      </c>
      <c r="T30" s="108">
        <v>-5.687864582435706E-2</v>
      </c>
      <c r="U30" s="109">
        <v>5.4917151500995889</v>
      </c>
      <c r="V30" s="111" t="b">
        <v>0</v>
      </c>
    </row>
    <row r="31" spans="1:22">
      <c r="A31" s="21">
        <v>43081</v>
      </c>
      <c r="B31" s="22">
        <v>26.97</v>
      </c>
      <c r="C31" s="20">
        <v>6.7189249720044685E-3</v>
      </c>
      <c r="D31" s="55">
        <v>1</v>
      </c>
      <c r="E31" s="55">
        <v>1295.0048111081564</v>
      </c>
      <c r="F31" s="55">
        <v>2704.5227571822352</v>
      </c>
      <c r="G31" s="55">
        <v>1</v>
      </c>
      <c r="H31" s="55">
        <v>0</v>
      </c>
      <c r="I31" s="55">
        <v>1295.0048111081564</v>
      </c>
      <c r="J31" s="55">
        <v>2704.5227571822352</v>
      </c>
      <c r="K31" s="55">
        <v>1</v>
      </c>
      <c r="L31" s="55" t="b">
        <v>1</v>
      </c>
      <c r="M31" s="86"/>
      <c r="Q31" s="9"/>
      <c r="R31" s="8"/>
      <c r="S31" s="77"/>
      <c r="T31" s="77"/>
      <c r="U31" s="78"/>
      <c r="V31" s="8"/>
    </row>
    <row r="32" spans="1:22">
      <c r="A32" s="21">
        <v>43082</v>
      </c>
      <c r="B32" s="22">
        <v>26.86</v>
      </c>
      <c r="C32" s="20">
        <v>-4.0786058583611208E-3</v>
      </c>
      <c r="D32" s="55">
        <v>0</v>
      </c>
      <c r="E32" s="55">
        <v>1295.0048111081564</v>
      </c>
      <c r="F32" s="55">
        <v>2704.5227571822352</v>
      </c>
      <c r="G32" s="55">
        <v>1</v>
      </c>
      <c r="H32" s="55">
        <v>0</v>
      </c>
      <c r="I32" s="55">
        <v>1295.0048111081564</v>
      </c>
      <c r="J32" s="55">
        <v>2704.5227571822352</v>
      </c>
      <c r="K32" s="55">
        <v>1</v>
      </c>
      <c r="L32" s="57" t="b">
        <v>0</v>
      </c>
      <c r="M32" s="86"/>
      <c r="N32" s="123" t="s">
        <v>63</v>
      </c>
      <c r="O32" s="123"/>
      <c r="P32" s="123"/>
      <c r="Q32" s="123"/>
      <c r="R32" s="8"/>
      <c r="S32" s="77"/>
      <c r="T32" s="77"/>
      <c r="U32" s="78"/>
      <c r="V32" s="8"/>
    </row>
    <row r="33" spans="1:22">
      <c r="A33" s="21">
        <v>43083</v>
      </c>
      <c r="B33" s="22">
        <v>26.635000000000002</v>
      </c>
      <c r="C33" s="20">
        <v>-8.3767684288904645E-3</v>
      </c>
      <c r="D33" s="55">
        <v>0</v>
      </c>
      <c r="E33" s="55">
        <v>1295.0048111081564</v>
      </c>
      <c r="F33" s="55">
        <v>2704.5227571822352</v>
      </c>
      <c r="G33" s="55">
        <v>0.99999747602067679</v>
      </c>
      <c r="H33" s="55">
        <v>-6.4702053013907275E-5</v>
      </c>
      <c r="I33" s="55">
        <v>1295.0467058431273</v>
      </c>
      <c r="J33" s="55">
        <v>2704.6102512696416</v>
      </c>
      <c r="K33" s="55">
        <v>1</v>
      </c>
      <c r="L33" s="57" t="b">
        <v>0</v>
      </c>
      <c r="M33" s="86"/>
      <c r="N33" s="123"/>
      <c r="O33" s="123"/>
      <c r="P33" s="123"/>
      <c r="Q33" s="123"/>
      <c r="R33" s="8"/>
      <c r="S33" s="77"/>
      <c r="T33" s="77"/>
      <c r="U33" s="78"/>
      <c r="V33" s="8"/>
    </row>
    <row r="34" spans="1:22">
      <c r="A34" s="21">
        <v>43084</v>
      </c>
      <c r="B34" s="22">
        <v>26.13</v>
      </c>
      <c r="C34" s="20">
        <v>-1.8960015017833773E-2</v>
      </c>
      <c r="D34" s="55">
        <v>0</v>
      </c>
      <c r="E34" s="55">
        <v>1295.0467058431273</v>
      </c>
      <c r="F34" s="55">
        <v>2704.6102512696416</v>
      </c>
      <c r="G34" s="55">
        <v>3.1471754082399568E-10</v>
      </c>
      <c r="H34" s="55">
        <v>-8.2235693390438577E-9</v>
      </c>
      <c r="I34" s="55">
        <v>1295.0467111680805</v>
      </c>
      <c r="J34" s="55">
        <v>2704.6102623904167</v>
      </c>
      <c r="K34" s="55">
        <v>-1</v>
      </c>
      <c r="L34" s="55" t="b">
        <v>1</v>
      </c>
      <c r="M34" s="86"/>
      <c r="N34" s="123"/>
      <c r="O34" s="123"/>
      <c r="P34" s="123"/>
      <c r="Q34" s="123"/>
      <c r="R34" s="8"/>
      <c r="S34" s="77"/>
      <c r="T34" s="77"/>
      <c r="U34" s="78"/>
      <c r="V34" s="8"/>
    </row>
    <row r="35" spans="1:22">
      <c r="A35" s="21">
        <v>43087</v>
      </c>
      <c r="B35" s="22">
        <v>26.684999999999999</v>
      </c>
      <c r="C35" s="20">
        <v>2.1239954075774961E-2</v>
      </c>
      <c r="D35" s="55">
        <v>1</v>
      </c>
      <c r="E35" s="55">
        <v>1295.0467111680805</v>
      </c>
      <c r="F35" s="55">
        <v>2704.6102623904167</v>
      </c>
      <c r="G35" s="55">
        <v>3.1402047408496824E-21</v>
      </c>
      <c r="H35" s="55">
        <v>-8.3796363509573775E-20</v>
      </c>
      <c r="I35" s="55">
        <v>1295.0467111680805</v>
      </c>
      <c r="J35" s="55">
        <v>2704.6102623904167</v>
      </c>
      <c r="K35" s="55">
        <v>-1</v>
      </c>
      <c r="L35" s="57" t="b">
        <v>0</v>
      </c>
      <c r="M35" s="86"/>
      <c r="N35" s="123"/>
      <c r="O35" s="123"/>
      <c r="P35" s="123"/>
      <c r="Q35" s="123"/>
      <c r="R35" s="8"/>
      <c r="S35" s="8"/>
      <c r="T35" s="8"/>
      <c r="U35" s="78"/>
      <c r="V35" s="8"/>
    </row>
    <row r="36" spans="1:22">
      <c r="A36" s="21">
        <v>43088</v>
      </c>
      <c r="B36" s="22">
        <v>26.85</v>
      </c>
      <c r="C36" s="20">
        <v>6.1832490163013943E-3</v>
      </c>
      <c r="D36" s="55">
        <v>1</v>
      </c>
      <c r="E36" s="55">
        <v>1295.0467111680805</v>
      </c>
      <c r="F36" s="55">
        <v>2704.6102623904167</v>
      </c>
      <c r="G36" s="55">
        <v>4.7384851772502479E-11</v>
      </c>
      <c r="H36" s="55">
        <v>-1.2722832700291593E-9</v>
      </c>
      <c r="I36" s="55">
        <v>1295.0467119919135</v>
      </c>
      <c r="J36" s="55">
        <v>2704.6102641109319</v>
      </c>
      <c r="K36" s="55">
        <v>-1</v>
      </c>
      <c r="L36" s="57" t="b">
        <v>0</v>
      </c>
      <c r="M36" s="86"/>
      <c r="N36" s="123"/>
      <c r="O36" s="123"/>
      <c r="P36" s="123"/>
      <c r="Q36" s="123"/>
      <c r="R36" s="8"/>
      <c r="S36" s="8"/>
      <c r="T36" s="8"/>
      <c r="U36" s="78"/>
      <c r="V36" s="8"/>
    </row>
    <row r="37" spans="1:22">
      <c r="A37" s="21">
        <v>43089</v>
      </c>
      <c r="B37" s="22">
        <v>26.975000000000001</v>
      </c>
      <c r="C37" s="20">
        <v>4.6554934823091242E-3</v>
      </c>
      <c r="D37" s="55">
        <v>1</v>
      </c>
      <c r="E37" s="55">
        <v>1295.0467119919135</v>
      </c>
      <c r="F37" s="55">
        <v>2704.6102641109319</v>
      </c>
      <c r="G37" s="55">
        <v>1</v>
      </c>
      <c r="H37" s="55">
        <v>0</v>
      </c>
      <c r="I37" s="55">
        <v>1295.0467119919135</v>
      </c>
      <c r="J37" s="55">
        <v>2704.6102641109319</v>
      </c>
      <c r="K37" s="55">
        <v>1</v>
      </c>
      <c r="L37" s="55" t="b">
        <v>1</v>
      </c>
      <c r="M37" s="86"/>
      <c r="N37" s="68"/>
      <c r="O37" s="69"/>
      <c r="P37" s="69"/>
      <c r="Q37" s="70"/>
      <c r="R37" s="8"/>
      <c r="S37" s="8"/>
      <c r="T37" s="8"/>
      <c r="U37" s="78"/>
      <c r="V37" s="8"/>
    </row>
    <row r="38" spans="1:22">
      <c r="A38" s="21">
        <v>43090</v>
      </c>
      <c r="B38" s="22">
        <v>27.515000000000001</v>
      </c>
      <c r="C38" s="20">
        <v>2.001853568118625E-2</v>
      </c>
      <c r="D38" s="55">
        <v>1</v>
      </c>
      <c r="E38" s="55">
        <v>1295.0467119919135</v>
      </c>
      <c r="F38" s="55">
        <v>2704.6102641109319</v>
      </c>
      <c r="G38" s="55">
        <v>0.99999999986854549</v>
      </c>
      <c r="H38" s="55">
        <v>-3.4855164366996615E-9</v>
      </c>
      <c r="I38" s="55">
        <v>1295.0467142488669</v>
      </c>
      <c r="J38" s="55">
        <v>2704.6102688244137</v>
      </c>
      <c r="K38" s="55">
        <v>1</v>
      </c>
      <c r="L38" s="55" t="b">
        <v>1</v>
      </c>
      <c r="M38" s="86"/>
      <c r="N38" s="71"/>
      <c r="O38" s="72"/>
      <c r="P38" s="72"/>
      <c r="Q38" s="73"/>
      <c r="R38" s="8"/>
      <c r="S38" s="8"/>
      <c r="T38" s="8"/>
      <c r="U38" s="78"/>
      <c r="V38" s="8"/>
    </row>
    <row r="39" spans="1:22">
      <c r="A39" s="21">
        <v>43091</v>
      </c>
      <c r="B39" s="22">
        <v>27.47</v>
      </c>
      <c r="C39" s="20">
        <v>-1.6354715609668074E-3</v>
      </c>
      <c r="D39" s="55">
        <v>0</v>
      </c>
      <c r="E39" s="55">
        <v>1295.0467142488669</v>
      </c>
      <c r="F39" s="55">
        <v>2704.6102688244137</v>
      </c>
      <c r="G39" s="55">
        <v>1</v>
      </c>
      <c r="H39" s="55">
        <v>0</v>
      </c>
      <c r="I39" s="55">
        <v>1295.0467142488669</v>
      </c>
      <c r="J39" s="55">
        <v>2704.6102688244137</v>
      </c>
      <c r="K39" s="55">
        <v>1</v>
      </c>
      <c r="L39" s="57" t="b">
        <v>0</v>
      </c>
      <c r="M39" s="86"/>
      <c r="N39" s="124" t="s">
        <v>41</v>
      </c>
      <c r="O39" s="124"/>
      <c r="P39" s="74">
        <v>0.39130434782608697</v>
      </c>
      <c r="Q39" s="9"/>
      <c r="R39" s="8"/>
      <c r="S39" s="8"/>
      <c r="T39" s="8"/>
      <c r="U39" s="78"/>
      <c r="V39" s="8"/>
    </row>
    <row r="40" spans="1:22">
      <c r="A40" s="21">
        <v>43096</v>
      </c>
      <c r="B40" s="22">
        <v>27.57</v>
      </c>
      <c r="C40" s="20">
        <v>3.6403349108118464E-3</v>
      </c>
      <c r="D40" s="55">
        <v>1</v>
      </c>
      <c r="E40" s="55">
        <v>1295.0467142488669</v>
      </c>
      <c r="F40" s="55">
        <v>2704.6102688244137</v>
      </c>
      <c r="G40" s="55">
        <v>1</v>
      </c>
      <c r="H40" s="55">
        <v>0</v>
      </c>
      <c r="I40" s="55">
        <v>1295.0467142488669</v>
      </c>
      <c r="J40" s="55">
        <v>2704.6102688244137</v>
      </c>
      <c r="K40" s="55">
        <v>1</v>
      </c>
      <c r="L40" s="55" t="b">
        <v>1</v>
      </c>
      <c r="M40" s="86"/>
      <c r="N40" s="9"/>
      <c r="O40" s="9"/>
      <c r="P40" s="9"/>
      <c r="Q40" s="9"/>
      <c r="R40" s="8"/>
      <c r="S40" s="8"/>
      <c r="T40" s="8"/>
      <c r="U40" s="78"/>
      <c r="V40" s="8"/>
    </row>
    <row r="41" spans="1:22">
      <c r="A41" s="21">
        <v>43097</v>
      </c>
      <c r="B41" s="22">
        <v>27.25</v>
      </c>
      <c r="C41" s="20">
        <v>-1.1606819006166133E-2</v>
      </c>
      <c r="D41" s="55">
        <v>0</v>
      </c>
      <c r="E41" s="55">
        <v>1295.0467142488669</v>
      </c>
      <c r="F41" s="55">
        <v>2704.6102688244137</v>
      </c>
      <c r="G41" s="55">
        <v>0.57226310566073291</v>
      </c>
      <c r="H41" s="55">
        <v>-6.530124243611886</v>
      </c>
      <c r="I41" s="55">
        <v>5523.4546869120868</v>
      </c>
      <c r="J41" s="55">
        <v>11535.330811810396</v>
      </c>
      <c r="K41" s="55">
        <v>1</v>
      </c>
      <c r="L41" s="57" t="b">
        <v>0</v>
      </c>
      <c r="M41" s="86"/>
      <c r="N41" s="9"/>
      <c r="O41" s="9"/>
      <c r="P41" s="9"/>
      <c r="Q41" s="9"/>
      <c r="R41" s="8"/>
      <c r="S41" s="8"/>
      <c r="T41" s="8"/>
      <c r="U41" s="78"/>
      <c r="V41" s="8"/>
    </row>
    <row r="42" spans="1:22">
      <c r="A42" s="21">
        <v>43098</v>
      </c>
      <c r="B42" s="22">
        <v>27.114999999999998</v>
      </c>
      <c r="C42" s="20">
        <v>-4.9541284403670297E-3</v>
      </c>
      <c r="D42" s="55">
        <v>0</v>
      </c>
      <c r="E42" s="55">
        <v>5523.4546869120868</v>
      </c>
      <c r="F42" s="55">
        <v>11535.330811810396</v>
      </c>
      <c r="G42" s="55">
        <v>2.4807961873522011E-10</v>
      </c>
      <c r="H42" s="55">
        <v>-6.7266788602751977E-9</v>
      </c>
      <c r="I42" s="55">
        <v>5523.4547054893401</v>
      </c>
      <c r="J42" s="55">
        <v>11535.330850607628</v>
      </c>
      <c r="K42" s="55">
        <v>-1</v>
      </c>
      <c r="L42" s="55" t="b">
        <v>1</v>
      </c>
      <c r="M42" s="86"/>
      <c r="N42" s="9"/>
      <c r="O42" s="9"/>
      <c r="P42" s="9"/>
      <c r="Q42" s="9"/>
      <c r="R42" s="8"/>
      <c r="S42" s="8"/>
      <c r="T42" s="8"/>
      <c r="U42" s="78"/>
      <c r="V42" s="8"/>
    </row>
    <row r="43" spans="1:22">
      <c r="A43" s="21">
        <v>43102</v>
      </c>
      <c r="B43" s="22">
        <v>28.024999999999999</v>
      </c>
      <c r="C43" s="20">
        <v>3.3560759727088336E-2</v>
      </c>
      <c r="D43" s="55">
        <v>1</v>
      </c>
      <c r="E43" s="55">
        <v>5523.4547054893401</v>
      </c>
      <c r="F43" s="55">
        <v>11535.330850607628</v>
      </c>
      <c r="G43" s="55">
        <v>9.3104758136478984E-71</v>
      </c>
      <c r="H43" s="55">
        <v>-2.6092608467748234E-69</v>
      </c>
      <c r="I43" s="55">
        <v>5523.4547054893401</v>
      </c>
      <c r="J43" s="55">
        <v>11535.330850607628</v>
      </c>
      <c r="K43" s="55">
        <v>-1</v>
      </c>
      <c r="L43" s="57" t="b">
        <v>0</v>
      </c>
      <c r="M43" s="86"/>
      <c r="N43" s="9"/>
      <c r="O43" s="9"/>
      <c r="P43" s="9"/>
      <c r="Q43" s="9"/>
      <c r="R43" s="8"/>
      <c r="S43" s="8"/>
      <c r="T43" s="8"/>
      <c r="U43" s="78"/>
      <c r="V43" s="8"/>
    </row>
    <row r="44" spans="1:22">
      <c r="A44" s="21">
        <v>43103</v>
      </c>
      <c r="B44" s="22">
        <v>28.76</v>
      </c>
      <c r="C44" s="20">
        <v>2.6226583407671828E-2</v>
      </c>
      <c r="D44" s="55">
        <v>1</v>
      </c>
      <c r="E44" s="55">
        <v>5523.4547054893401</v>
      </c>
      <c r="F44" s="55">
        <v>11535.330850607628</v>
      </c>
      <c r="G44" s="55">
        <v>1</v>
      </c>
      <c r="H44" s="55">
        <v>0</v>
      </c>
      <c r="I44" s="55">
        <v>5523.4547054893401</v>
      </c>
      <c r="J44" s="55">
        <v>11535.330850607628</v>
      </c>
      <c r="K44" s="55">
        <v>1</v>
      </c>
      <c r="L44" s="55" t="b">
        <v>1</v>
      </c>
      <c r="M44" s="86"/>
      <c r="N44" s="9"/>
      <c r="O44" s="9"/>
      <c r="P44" s="9"/>
      <c r="Q44" s="9"/>
      <c r="R44" s="8"/>
      <c r="S44" s="8"/>
      <c r="T44" s="8"/>
      <c r="U44" s="78"/>
      <c r="V44" s="8"/>
    </row>
    <row r="45" spans="1:22">
      <c r="A45" s="21">
        <v>43104</v>
      </c>
      <c r="B45" s="22">
        <v>28.675000000000001</v>
      </c>
      <c r="C45" s="20">
        <v>-2.9554937413074009E-3</v>
      </c>
      <c r="D45" s="55">
        <v>0</v>
      </c>
      <c r="E45" s="55">
        <v>5523.4547054893401</v>
      </c>
      <c r="F45" s="55">
        <v>11535.330850607628</v>
      </c>
      <c r="G45" s="55">
        <v>1</v>
      </c>
      <c r="H45" s="55">
        <v>0</v>
      </c>
      <c r="I45" s="55">
        <v>5523.4547054893401</v>
      </c>
      <c r="J45" s="55">
        <v>11535.330850607628</v>
      </c>
      <c r="K45" s="55">
        <v>1</v>
      </c>
      <c r="L45" s="57" t="b">
        <v>0</v>
      </c>
      <c r="M45" s="86"/>
      <c r="N45" s="9"/>
      <c r="O45" s="9"/>
      <c r="P45" s="9"/>
      <c r="Q45" s="9"/>
      <c r="R45" s="8"/>
      <c r="S45" s="8"/>
      <c r="T45" s="8"/>
      <c r="U45" s="78"/>
      <c r="V45" s="8"/>
    </row>
    <row r="46" spans="1:22">
      <c r="A46" s="21">
        <v>43105</v>
      </c>
      <c r="B46" s="22">
        <v>28.414999999999999</v>
      </c>
      <c r="C46" s="20">
        <v>-9.0671316477768625E-3</v>
      </c>
      <c r="D46" s="55">
        <v>0</v>
      </c>
      <c r="E46" s="55">
        <v>5523.4547054893401</v>
      </c>
      <c r="F46" s="55">
        <v>11535.330850607628</v>
      </c>
      <c r="G46" s="55">
        <v>1</v>
      </c>
      <c r="H46" s="55">
        <v>0</v>
      </c>
      <c r="I46" s="55">
        <v>5523.4547054893401</v>
      </c>
      <c r="J46" s="55">
        <v>11535.330850607628</v>
      </c>
      <c r="K46" s="55">
        <v>1</v>
      </c>
      <c r="L46" s="57" t="b">
        <v>0</v>
      </c>
      <c r="M46" s="86"/>
      <c r="N46" s="9"/>
      <c r="O46" s="9"/>
      <c r="P46" s="9"/>
      <c r="Q46" s="9"/>
      <c r="R46" s="8"/>
      <c r="S46" s="8"/>
      <c r="T46" s="8"/>
      <c r="U46" s="78"/>
      <c r="V46" s="8"/>
    </row>
    <row r="47" spans="1:22">
      <c r="A47" s="21">
        <v>43108</v>
      </c>
      <c r="B47" s="22">
        <v>29.2</v>
      </c>
      <c r="C47" s="20">
        <v>2.7626253739222249E-2</v>
      </c>
      <c r="D47" s="55">
        <v>1</v>
      </c>
      <c r="E47" s="55">
        <v>5523.4547054893401</v>
      </c>
      <c r="F47" s="55">
        <v>11535.330850607628</v>
      </c>
      <c r="G47" s="55">
        <v>2.7764117114655924E-37</v>
      </c>
      <c r="H47" s="55">
        <v>-8.1071221974795302E-36</v>
      </c>
      <c r="I47" s="55">
        <v>5523.4547054893401</v>
      </c>
      <c r="J47" s="55">
        <v>11535.330850607628</v>
      </c>
      <c r="K47" s="55">
        <v>-1</v>
      </c>
      <c r="L47" s="57" t="b">
        <v>0</v>
      </c>
      <c r="M47" s="86"/>
      <c r="N47" s="9"/>
      <c r="O47" s="9"/>
      <c r="P47" s="9"/>
      <c r="Q47" s="9"/>
      <c r="R47" s="8"/>
      <c r="S47" s="8"/>
      <c r="T47" s="8"/>
      <c r="U47" s="78"/>
      <c r="V47" s="8"/>
    </row>
    <row r="48" spans="1:22">
      <c r="A48" s="21">
        <v>43109</v>
      </c>
      <c r="B48" s="22">
        <v>29.75</v>
      </c>
      <c r="C48" s="20">
        <v>1.8835616438356188E-2</v>
      </c>
      <c r="D48" s="55">
        <v>1</v>
      </c>
      <c r="E48" s="55">
        <v>5523.4547054893401</v>
      </c>
      <c r="F48" s="55">
        <v>11535.330850607628</v>
      </c>
      <c r="G48" s="55">
        <v>1</v>
      </c>
      <c r="H48" s="55">
        <v>0</v>
      </c>
      <c r="I48" s="55">
        <v>5523.4547054893401</v>
      </c>
      <c r="J48" s="55">
        <v>11535.330850607628</v>
      </c>
      <c r="K48" s="55">
        <v>1</v>
      </c>
      <c r="L48" s="55" t="b">
        <v>1</v>
      </c>
      <c r="M48" s="86"/>
      <c r="N48" s="9"/>
      <c r="O48" s="9"/>
      <c r="P48" s="9"/>
      <c r="Q48" s="9"/>
      <c r="R48" s="8"/>
      <c r="S48" s="8"/>
      <c r="T48" s="8"/>
      <c r="U48" s="78"/>
      <c r="V48" s="8"/>
    </row>
    <row r="49" spans="1:22">
      <c r="A49" s="21">
        <v>43110</v>
      </c>
      <c r="B49" s="22">
        <v>29.83</v>
      </c>
      <c r="C49" s="20">
        <v>2.6890756302520437E-3</v>
      </c>
      <c r="D49" s="55">
        <v>1</v>
      </c>
      <c r="E49" s="55">
        <v>5523.4547054893401</v>
      </c>
      <c r="F49" s="55">
        <v>11535.330850607628</v>
      </c>
      <c r="G49" s="55">
        <v>1</v>
      </c>
      <c r="H49" s="55">
        <v>0</v>
      </c>
      <c r="I49" s="55">
        <v>5523.4547054893401</v>
      </c>
      <c r="J49" s="55">
        <v>11535.330850607628</v>
      </c>
      <c r="K49" s="55">
        <v>1</v>
      </c>
      <c r="L49" s="55" t="b">
        <v>1</v>
      </c>
      <c r="M49" s="86"/>
      <c r="N49" s="9"/>
      <c r="O49" s="9"/>
      <c r="P49" s="9"/>
      <c r="Q49" s="9"/>
      <c r="R49" s="8"/>
      <c r="S49" s="8"/>
      <c r="T49" s="8"/>
      <c r="U49" s="78"/>
      <c r="V49" s="8"/>
    </row>
    <row r="50" spans="1:22">
      <c r="A50" s="21">
        <v>43111</v>
      </c>
      <c r="B50" s="22">
        <v>30.16</v>
      </c>
      <c r="C50" s="20">
        <v>1.1062688568555209E-2</v>
      </c>
      <c r="D50" s="55">
        <v>1</v>
      </c>
      <c r="E50" s="55">
        <v>5523.4547054893401</v>
      </c>
      <c r="F50" s="55">
        <v>11535.330850607628</v>
      </c>
      <c r="G50" s="55">
        <v>1</v>
      </c>
      <c r="H50" s="55">
        <v>0</v>
      </c>
      <c r="I50" s="55">
        <v>5523.4547054893401</v>
      </c>
      <c r="J50" s="55">
        <v>11535.330850607628</v>
      </c>
      <c r="K50" s="55">
        <v>1</v>
      </c>
      <c r="L50" s="55" t="b">
        <v>1</v>
      </c>
      <c r="M50" s="86"/>
      <c r="N50" s="9"/>
      <c r="O50" s="9"/>
      <c r="P50" s="9"/>
      <c r="Q50" s="9"/>
      <c r="R50" s="8"/>
      <c r="S50" s="8"/>
      <c r="T50" s="8"/>
      <c r="U50" s="78"/>
      <c r="V50" s="8"/>
    </row>
    <row r="51" spans="1:22">
      <c r="A51" s="21">
        <v>43112</v>
      </c>
      <c r="B51" s="22">
        <v>30.63</v>
      </c>
      <c r="C51" s="20">
        <v>1.5583554376657788E-2</v>
      </c>
      <c r="D51" s="55">
        <v>1</v>
      </c>
      <c r="E51" s="55">
        <v>5523.4547054893401</v>
      </c>
      <c r="F51" s="55">
        <v>11535.330850607628</v>
      </c>
      <c r="G51" s="55">
        <v>1</v>
      </c>
      <c r="H51" s="55">
        <v>0</v>
      </c>
      <c r="I51" s="55">
        <v>5523.4547054893401</v>
      </c>
      <c r="J51" s="55">
        <v>11535.330850607628</v>
      </c>
      <c r="K51" s="55">
        <v>1</v>
      </c>
      <c r="L51" s="55" t="b">
        <v>1</v>
      </c>
      <c r="M51" s="86"/>
      <c r="N51" s="9"/>
      <c r="O51" s="9"/>
      <c r="P51" s="9"/>
      <c r="Q51" s="9"/>
      <c r="R51" s="8"/>
      <c r="S51" s="8"/>
      <c r="T51" s="8"/>
      <c r="U51" s="78"/>
      <c r="V51" s="8"/>
    </row>
    <row r="52" spans="1:22">
      <c r="A52" s="21">
        <v>43115</v>
      </c>
      <c r="B52" s="22">
        <v>30.52</v>
      </c>
      <c r="C52" s="20">
        <v>-3.5912504080966188E-3</v>
      </c>
      <c r="D52" s="55">
        <v>0</v>
      </c>
      <c r="E52" s="55">
        <v>5523.4547054893401</v>
      </c>
      <c r="F52" s="55">
        <v>11535.330850607628</v>
      </c>
      <c r="G52" s="55">
        <v>1</v>
      </c>
      <c r="H52" s="55">
        <v>0</v>
      </c>
      <c r="I52" s="55">
        <v>5523.4547054893401</v>
      </c>
      <c r="J52" s="55">
        <v>11535.330850607628</v>
      </c>
      <c r="K52" s="55">
        <v>1</v>
      </c>
      <c r="L52" s="57" t="b">
        <v>0</v>
      </c>
      <c r="M52" s="86"/>
      <c r="N52" s="9"/>
      <c r="O52" s="9"/>
      <c r="P52" s="9"/>
      <c r="Q52" s="9"/>
      <c r="R52" s="8"/>
      <c r="S52" s="8"/>
      <c r="T52" s="8"/>
      <c r="U52" s="78"/>
      <c r="V52" s="8"/>
    </row>
    <row r="53" spans="1:22">
      <c r="A53" s="21">
        <v>43116</v>
      </c>
      <c r="B53" s="22">
        <v>30.155000000000001</v>
      </c>
      <c r="C53" s="20">
        <v>-1.1959370904324982E-2</v>
      </c>
      <c r="D53" s="55">
        <v>0</v>
      </c>
      <c r="E53" s="55">
        <v>5523.4547054893401</v>
      </c>
      <c r="F53" s="55">
        <v>11535.330850607628</v>
      </c>
      <c r="G53" s="55">
        <v>1</v>
      </c>
      <c r="H53" s="55">
        <v>0</v>
      </c>
      <c r="I53" s="55">
        <v>5523.4547054893401</v>
      </c>
      <c r="J53" s="55">
        <v>11535.330850607628</v>
      </c>
      <c r="K53" s="55">
        <v>1</v>
      </c>
      <c r="L53" s="57" t="b">
        <v>0</v>
      </c>
      <c r="M53" s="86"/>
      <c r="N53" s="9"/>
      <c r="O53" s="9"/>
      <c r="P53" s="9"/>
      <c r="Q53" s="9"/>
      <c r="R53" s="8"/>
      <c r="S53" s="8"/>
      <c r="T53" s="8"/>
      <c r="U53" s="78"/>
      <c r="V53" s="8"/>
    </row>
    <row r="54" spans="1:22">
      <c r="A54" s="21">
        <v>43117</v>
      </c>
      <c r="B54" s="22">
        <v>29.774999999999999</v>
      </c>
      <c r="C54" s="20">
        <v>-1.2601558613828636E-2</v>
      </c>
      <c r="D54" s="55">
        <v>0</v>
      </c>
      <c r="E54" s="55">
        <v>5523.4547054893401</v>
      </c>
      <c r="F54" s="55">
        <v>11535.330850607628</v>
      </c>
      <c r="G54" s="55">
        <v>2.0921541935238458E-47</v>
      </c>
      <c r="H54" s="55">
        <v>-6.2293891112172509E-46</v>
      </c>
      <c r="I54" s="55">
        <v>5523.4547054893401</v>
      </c>
      <c r="J54" s="55">
        <v>11535.330850607628</v>
      </c>
      <c r="K54" s="55">
        <v>-1</v>
      </c>
      <c r="L54" s="55" t="b">
        <v>1</v>
      </c>
      <c r="M54" s="86"/>
      <c r="N54" s="9"/>
      <c r="O54" s="9"/>
      <c r="P54" s="9"/>
      <c r="Q54" s="9"/>
      <c r="R54" s="8"/>
      <c r="S54" s="8"/>
      <c r="T54" s="8"/>
      <c r="U54" s="78"/>
      <c r="V54" s="8"/>
    </row>
    <row r="55" spans="1:22">
      <c r="A55" s="21">
        <v>43118</v>
      </c>
      <c r="B55" s="22">
        <v>29.86</v>
      </c>
      <c r="C55" s="20">
        <v>2.8547439126784505E-3</v>
      </c>
      <c r="D55" s="55">
        <v>1</v>
      </c>
      <c r="E55" s="55">
        <v>5523.4547054893401</v>
      </c>
      <c r="F55" s="55">
        <v>11535.330850607628</v>
      </c>
      <c r="G55" s="55">
        <v>7.2124239954591773E-91</v>
      </c>
      <c r="H55" s="55">
        <v>-2.1536298050441103E-89</v>
      </c>
      <c r="I55" s="55">
        <v>5523.4547054893401</v>
      </c>
      <c r="J55" s="55">
        <v>11535.330850607628</v>
      </c>
      <c r="K55" s="55">
        <v>-1</v>
      </c>
      <c r="L55" s="57" t="b">
        <v>0</v>
      </c>
      <c r="M55" s="86"/>
      <c r="N55" s="9"/>
      <c r="O55" s="9"/>
      <c r="P55" s="9"/>
      <c r="Q55" s="9"/>
      <c r="R55" s="8"/>
      <c r="S55" s="8"/>
      <c r="T55" s="8"/>
      <c r="U55" s="78"/>
      <c r="V55" s="8"/>
    </row>
    <row r="56" spans="1:22">
      <c r="A56" s="21">
        <v>43119</v>
      </c>
      <c r="B56" s="22">
        <v>30.1</v>
      </c>
      <c r="C56" s="20">
        <v>8.0375083724046215E-3</v>
      </c>
      <c r="D56" s="55">
        <v>1</v>
      </c>
      <c r="E56" s="55">
        <v>5523.4547054893401</v>
      </c>
      <c r="F56" s="55">
        <v>11535.330850607628</v>
      </c>
      <c r="G56" s="55">
        <v>5.2187147456709531E-57</v>
      </c>
      <c r="H56" s="55">
        <v>-1.570833138446957E-55</v>
      </c>
      <c r="I56" s="55">
        <v>5523.4547054893401</v>
      </c>
      <c r="J56" s="55">
        <v>11535.330850607628</v>
      </c>
      <c r="K56" s="55">
        <v>-1</v>
      </c>
      <c r="L56" s="57" t="b">
        <v>0</v>
      </c>
      <c r="M56" s="86"/>
      <c r="N56" s="9"/>
      <c r="O56" s="9"/>
      <c r="P56" s="9"/>
      <c r="Q56" s="9"/>
      <c r="R56" s="8"/>
      <c r="S56" s="8"/>
      <c r="T56" s="8"/>
      <c r="U56" s="78"/>
      <c r="V56" s="8"/>
    </row>
    <row r="57" spans="1:22">
      <c r="A57" s="21">
        <v>43122</v>
      </c>
      <c r="B57" s="22">
        <v>29.96</v>
      </c>
      <c r="C57" s="20">
        <v>-4.6511627906976934E-3</v>
      </c>
      <c r="D57" s="55">
        <v>0</v>
      </c>
      <c r="E57" s="55">
        <v>5523.4547054893401</v>
      </c>
      <c r="F57" s="55">
        <v>11535.330850607628</v>
      </c>
      <c r="G57" s="55">
        <v>1</v>
      </c>
      <c r="H57" s="55">
        <v>0</v>
      </c>
      <c r="I57" s="55">
        <v>5523.4547054893401</v>
      </c>
      <c r="J57" s="55">
        <v>11535.330850607628</v>
      </c>
      <c r="K57" s="55">
        <v>1</v>
      </c>
      <c r="L57" s="57" t="b">
        <v>0</v>
      </c>
      <c r="M57" s="86"/>
      <c r="N57" s="9"/>
      <c r="O57" s="9"/>
      <c r="P57" s="9"/>
      <c r="Q57" s="9"/>
      <c r="R57" s="8"/>
      <c r="S57" s="8"/>
      <c r="T57" s="8"/>
      <c r="U57" s="78"/>
      <c r="V57" s="8"/>
    </row>
    <row r="58" spans="1:22">
      <c r="A58" s="21">
        <v>43123</v>
      </c>
      <c r="B58" s="22">
        <v>29.28</v>
      </c>
      <c r="C58" s="20">
        <v>-2.2696929238985305E-2</v>
      </c>
      <c r="D58" s="55">
        <v>0</v>
      </c>
      <c r="E58" s="55">
        <v>5523.4547054893401</v>
      </c>
      <c r="F58" s="55">
        <v>11535.330850607628</v>
      </c>
      <c r="G58" s="55">
        <v>1</v>
      </c>
      <c r="H58" s="55">
        <v>0</v>
      </c>
      <c r="I58" s="55">
        <v>5523.4547054893401</v>
      </c>
      <c r="J58" s="55">
        <v>11535.330850607628</v>
      </c>
      <c r="K58" s="55">
        <v>1</v>
      </c>
      <c r="L58" s="57" t="b">
        <v>0</v>
      </c>
      <c r="M58" s="86"/>
      <c r="N58" s="9"/>
      <c r="O58" s="9"/>
      <c r="P58" s="9"/>
      <c r="Q58" s="9"/>
      <c r="R58" s="8"/>
      <c r="S58" s="8"/>
      <c r="T58" s="8"/>
      <c r="U58" s="78"/>
      <c r="V58" s="8"/>
    </row>
    <row r="59" spans="1:22">
      <c r="A59" s="21">
        <v>43124</v>
      </c>
      <c r="B59" s="22">
        <v>29.21</v>
      </c>
      <c r="C59" s="20">
        <v>-2.3907103825136708E-3</v>
      </c>
      <c r="D59" s="55">
        <v>0</v>
      </c>
      <c r="E59" s="55">
        <v>5523.4547054893401</v>
      </c>
      <c r="F59" s="55">
        <v>11535.330850607628</v>
      </c>
      <c r="G59" s="55">
        <v>1.7922557420544642E-78</v>
      </c>
      <c r="H59" s="55">
        <v>-5.2351790225410898E-77</v>
      </c>
      <c r="I59" s="55">
        <v>5523.4547054893401</v>
      </c>
      <c r="J59" s="55">
        <v>11535.330850607628</v>
      </c>
      <c r="K59" s="55">
        <v>-1</v>
      </c>
      <c r="L59" s="55" t="b">
        <v>1</v>
      </c>
      <c r="M59" s="86"/>
      <c r="N59" s="9"/>
      <c r="O59" s="9"/>
      <c r="P59" s="9"/>
      <c r="Q59" s="9"/>
      <c r="R59" s="8"/>
      <c r="S59" s="8"/>
      <c r="T59" s="8"/>
      <c r="U59" s="78"/>
      <c r="V59" s="8"/>
    </row>
    <row r="60" spans="1:22">
      <c r="A60" s="21">
        <v>43125</v>
      </c>
      <c r="B60" s="22">
        <v>29.7</v>
      </c>
      <c r="C60" s="20">
        <v>1.6775077028414874E-2</v>
      </c>
      <c r="D60" s="55">
        <v>1</v>
      </c>
      <c r="E60" s="55">
        <v>5523.4547054893401</v>
      </c>
      <c r="F60" s="55">
        <v>11535.330850607628</v>
      </c>
      <c r="G60" s="55">
        <v>3.627858694871961E-120</v>
      </c>
      <c r="H60" s="55">
        <v>-1.0774740323769724E-118</v>
      </c>
      <c r="I60" s="55">
        <v>5523.4547054893401</v>
      </c>
      <c r="J60" s="55">
        <v>11535.330850607628</v>
      </c>
      <c r="K60" s="55">
        <v>-1</v>
      </c>
      <c r="L60" s="57" t="b">
        <v>0</v>
      </c>
      <c r="M60" s="86"/>
      <c r="N60" s="9"/>
      <c r="O60" s="9"/>
      <c r="P60" s="9"/>
      <c r="Q60" s="9"/>
      <c r="R60" s="8"/>
      <c r="S60" s="8"/>
      <c r="T60" s="8"/>
      <c r="U60" s="78"/>
      <c r="V60" s="8"/>
    </row>
    <row r="61" spans="1:22">
      <c r="A61" s="21">
        <v>43126</v>
      </c>
      <c r="B61" s="22">
        <v>29.975000000000001</v>
      </c>
      <c r="C61" s="20">
        <v>9.2592592592593316E-3</v>
      </c>
      <c r="D61" s="55">
        <v>1</v>
      </c>
      <c r="E61" s="55">
        <v>5523.4547054893401</v>
      </c>
      <c r="F61" s="55">
        <v>11535.330850607628</v>
      </c>
      <c r="G61" s="55">
        <v>1</v>
      </c>
      <c r="H61" s="55">
        <v>0</v>
      </c>
      <c r="I61" s="55">
        <v>5523.4547054893401</v>
      </c>
      <c r="J61" s="55">
        <v>11535.330850607628</v>
      </c>
      <c r="K61" s="55">
        <v>1</v>
      </c>
      <c r="L61" s="55" t="b">
        <v>1</v>
      </c>
      <c r="M61" s="86"/>
      <c r="N61" s="9"/>
      <c r="O61" s="9"/>
      <c r="P61" s="9"/>
      <c r="Q61" s="9"/>
      <c r="R61" s="8"/>
      <c r="S61" s="8"/>
      <c r="T61" s="8"/>
      <c r="U61" s="78"/>
      <c r="V61" s="8"/>
    </row>
    <row r="62" spans="1:22">
      <c r="A62" s="21">
        <v>43129</v>
      </c>
      <c r="B62" s="22">
        <v>30.17</v>
      </c>
      <c r="C62" s="20">
        <v>6.505421184320276E-3</v>
      </c>
      <c r="D62" s="55">
        <v>1</v>
      </c>
      <c r="E62" s="55">
        <v>5523.4547054893401</v>
      </c>
      <c r="F62" s="55">
        <v>11535.330850607628</v>
      </c>
      <c r="G62" s="55">
        <v>1</v>
      </c>
      <c r="H62" s="55">
        <v>0</v>
      </c>
      <c r="I62" s="55">
        <v>5523.4547054893401</v>
      </c>
      <c r="J62" s="55">
        <v>11535.330850607628</v>
      </c>
      <c r="K62" s="55">
        <v>1</v>
      </c>
      <c r="L62" s="55" t="b">
        <v>1</v>
      </c>
      <c r="M62" s="86"/>
      <c r="N62" s="9"/>
      <c r="O62" s="9"/>
      <c r="P62" s="9"/>
      <c r="Q62" s="9"/>
      <c r="R62" s="8"/>
      <c r="S62" s="8"/>
      <c r="T62" s="8"/>
      <c r="U62" s="78"/>
      <c r="V62" s="8"/>
    </row>
    <row r="63" spans="1:22">
      <c r="A63" s="21">
        <v>43130</v>
      </c>
      <c r="B63" s="22">
        <v>29.57</v>
      </c>
      <c r="C63" s="20">
        <v>-1.9887305270135942E-2</v>
      </c>
      <c r="D63" s="55">
        <v>0</v>
      </c>
      <c r="E63" s="55">
        <v>5523.4547054893401</v>
      </c>
      <c r="F63" s="55">
        <v>11535.330850607628</v>
      </c>
      <c r="G63" s="55">
        <v>1</v>
      </c>
      <c r="H63" s="55">
        <v>0</v>
      </c>
      <c r="I63" s="55">
        <v>5523.4547054893401</v>
      </c>
      <c r="J63" s="55">
        <v>11535.330850607628</v>
      </c>
      <c r="K63" s="55">
        <v>1</v>
      </c>
      <c r="L63" s="57" t="b">
        <v>0</v>
      </c>
      <c r="M63" s="86"/>
      <c r="N63" s="9"/>
      <c r="O63" s="9"/>
      <c r="P63" s="9"/>
      <c r="Q63" s="9"/>
      <c r="R63" s="8"/>
      <c r="S63" s="8"/>
      <c r="T63" s="8"/>
      <c r="U63" s="78"/>
      <c r="V63" s="8"/>
    </row>
    <row r="64" spans="1:22">
      <c r="A64" s="21">
        <v>43131</v>
      </c>
      <c r="B64" s="22">
        <v>29.225000000000001</v>
      </c>
      <c r="C64" s="20">
        <v>-1.1667230300980685E-2</v>
      </c>
      <c r="D64" s="55">
        <v>0</v>
      </c>
      <c r="E64" s="55">
        <v>5523.4547054893401</v>
      </c>
      <c r="F64" s="55">
        <v>11535.330850607628</v>
      </c>
      <c r="G64" s="55">
        <v>7.6669378452533889E-16</v>
      </c>
      <c r="H64" s="55">
        <v>-2.2406625852753013E-14</v>
      </c>
      <c r="I64" s="55">
        <v>5523.4547054894019</v>
      </c>
      <c r="J64" s="55">
        <v>11535.330850607757</v>
      </c>
      <c r="K64" s="55">
        <v>-1</v>
      </c>
      <c r="L64" s="55" t="b">
        <v>1</v>
      </c>
      <c r="M64" s="86"/>
      <c r="N64" s="9"/>
      <c r="O64" s="9"/>
      <c r="P64" s="9"/>
      <c r="Q64" s="9"/>
      <c r="R64" s="8"/>
      <c r="S64" s="8"/>
      <c r="T64" s="8"/>
      <c r="U64" s="78"/>
      <c r="V64" s="8"/>
    </row>
    <row r="65" spans="1:22">
      <c r="A65" s="21">
        <v>43132</v>
      </c>
      <c r="B65" s="22">
        <v>28.925000000000001</v>
      </c>
      <c r="C65" s="20">
        <v>-1.0265183917878553E-2</v>
      </c>
      <c r="D65" s="55">
        <v>0</v>
      </c>
      <c r="E65" s="55">
        <v>5523.4547054894019</v>
      </c>
      <c r="F65" s="55">
        <v>11535.330850607757</v>
      </c>
      <c r="G65" s="55">
        <v>2.4128962252819122E-128</v>
      </c>
      <c r="H65" s="55">
        <v>-6.9793023316279315E-127</v>
      </c>
      <c r="I65" s="55">
        <v>5523.4547054894019</v>
      </c>
      <c r="J65" s="55">
        <v>11535.330850607757</v>
      </c>
      <c r="K65" s="55">
        <v>-1</v>
      </c>
      <c r="L65" s="55" t="b">
        <v>1</v>
      </c>
      <c r="M65" s="86"/>
      <c r="N65" s="9"/>
      <c r="O65" s="9"/>
      <c r="P65" s="9"/>
      <c r="Q65" s="9"/>
      <c r="R65" s="8"/>
      <c r="S65" s="8"/>
      <c r="T65" s="8"/>
      <c r="U65" s="78"/>
      <c r="V65" s="8"/>
    </row>
    <row r="66" spans="1:22">
      <c r="A66" s="21">
        <v>43133</v>
      </c>
      <c r="B66" s="22">
        <v>27.8</v>
      </c>
      <c r="C66" s="20">
        <v>-3.8893690579083838E-2</v>
      </c>
      <c r="D66" s="55">
        <v>0</v>
      </c>
      <c r="E66" s="55">
        <v>5523.4547054894019</v>
      </c>
      <c r="F66" s="55">
        <v>11535.330850607757</v>
      </c>
      <c r="G66" s="55">
        <v>8.4359958065898817E-84</v>
      </c>
      <c r="H66" s="55">
        <v>-2.345206834231987E-82</v>
      </c>
      <c r="I66" s="55">
        <v>5523.4547054894019</v>
      </c>
      <c r="J66" s="55">
        <v>11535.330850607757</v>
      </c>
      <c r="K66" s="55">
        <v>-1</v>
      </c>
      <c r="L66" s="55" t="b">
        <v>1</v>
      </c>
      <c r="M66" s="86"/>
      <c r="N66" s="9"/>
      <c r="O66" s="9"/>
      <c r="P66" s="9"/>
      <c r="Q66" s="9"/>
      <c r="R66" s="8"/>
      <c r="S66" s="8"/>
      <c r="T66" s="8"/>
      <c r="U66" s="78"/>
      <c r="V66" s="8"/>
    </row>
    <row r="67" spans="1:22">
      <c r="A67" s="21">
        <v>43136</v>
      </c>
      <c r="B67" s="22">
        <v>28.105</v>
      </c>
      <c r="C67" s="20">
        <v>1.0971223021582724E-2</v>
      </c>
      <c r="D67" s="55">
        <v>1</v>
      </c>
      <c r="E67" s="55">
        <v>5523.4547054894019</v>
      </c>
      <c r="F67" s="55">
        <v>11535.330850607757</v>
      </c>
      <c r="G67" s="55">
        <v>1.8870363058398808E-145</v>
      </c>
      <c r="H67" s="55">
        <v>-5.3035155375629848E-144</v>
      </c>
      <c r="I67" s="55">
        <v>5523.4547054894019</v>
      </c>
      <c r="J67" s="55">
        <v>11535.330850607757</v>
      </c>
      <c r="K67" s="55">
        <v>-1</v>
      </c>
      <c r="L67" s="57" t="b">
        <v>0</v>
      </c>
      <c r="M67" s="86"/>
      <c r="N67" s="9"/>
      <c r="O67" s="9"/>
      <c r="P67" s="9"/>
      <c r="Q67" s="9"/>
      <c r="R67" s="8"/>
      <c r="S67" s="8"/>
      <c r="T67" s="8"/>
      <c r="U67" s="78"/>
      <c r="V67" s="8"/>
    </row>
    <row r="68" spans="1:22">
      <c r="A68" s="21">
        <v>43137</v>
      </c>
      <c r="B68" s="22">
        <v>27.09</v>
      </c>
      <c r="C68" s="20">
        <v>-3.6114570361145723E-2</v>
      </c>
      <c r="D68" s="55">
        <v>0</v>
      </c>
      <c r="E68" s="55">
        <v>5523.4547054894019</v>
      </c>
      <c r="F68" s="55">
        <v>11535.330850607757</v>
      </c>
      <c r="G68" s="55">
        <v>2.9575029331315929E-169</v>
      </c>
      <c r="H68" s="55">
        <v>-8.011875445853485E-168</v>
      </c>
      <c r="I68" s="55">
        <v>5523.4547054894019</v>
      </c>
      <c r="J68" s="55">
        <v>11535.330850607757</v>
      </c>
      <c r="K68" s="55">
        <v>-1</v>
      </c>
      <c r="L68" s="55" t="b">
        <v>1</v>
      </c>
      <c r="M68" s="86"/>
      <c r="N68" s="9"/>
      <c r="O68" s="9"/>
      <c r="P68" s="9"/>
      <c r="Q68" s="9"/>
      <c r="R68" s="8"/>
      <c r="S68" s="8"/>
      <c r="T68" s="8"/>
      <c r="U68" s="78"/>
      <c r="V68" s="8"/>
    </row>
    <row r="69" spans="1:22">
      <c r="A69" s="21">
        <v>43138</v>
      </c>
      <c r="B69" s="22">
        <v>27.71</v>
      </c>
      <c r="C69" s="20">
        <v>2.2886674049464786E-2</v>
      </c>
      <c r="D69" s="55">
        <v>1</v>
      </c>
      <c r="E69" s="55">
        <v>5523.4547054894019</v>
      </c>
      <c r="F69" s="55">
        <v>11535.330850607757</v>
      </c>
      <c r="G69" s="55">
        <v>2.1430215395745109E-32</v>
      </c>
      <c r="H69" s="55">
        <v>-5.9383126861609698E-31</v>
      </c>
      <c r="I69" s="55">
        <v>5523.4547054894019</v>
      </c>
      <c r="J69" s="55">
        <v>11535.330850607757</v>
      </c>
      <c r="K69" s="55">
        <v>-1</v>
      </c>
      <c r="L69" s="57" t="b">
        <v>0</v>
      </c>
      <c r="M69" s="86"/>
      <c r="N69" s="9"/>
      <c r="O69" s="9"/>
      <c r="P69" s="9"/>
      <c r="Q69" s="9"/>
      <c r="R69" s="8"/>
      <c r="S69" s="8"/>
      <c r="T69" s="8"/>
      <c r="U69" s="78"/>
      <c r="V69" s="8"/>
    </row>
    <row r="70" spans="1:22">
      <c r="A70" s="21">
        <v>43139</v>
      </c>
      <c r="B70" s="22">
        <v>26.61</v>
      </c>
      <c r="C70" s="20">
        <v>-3.9696860339227764E-2</v>
      </c>
      <c r="D70" s="55">
        <v>0</v>
      </c>
      <c r="E70" s="55">
        <v>5523.4547054894019</v>
      </c>
      <c r="F70" s="55">
        <v>11535.330850607757</v>
      </c>
      <c r="G70" s="55">
        <v>9.4715885476421781E-127</v>
      </c>
      <c r="H70" s="55">
        <v>-2.5203897125275835E-125</v>
      </c>
      <c r="I70" s="55">
        <v>5523.4547054894019</v>
      </c>
      <c r="J70" s="55">
        <v>11535.330850607757</v>
      </c>
      <c r="K70" s="55">
        <v>-1</v>
      </c>
      <c r="L70" s="55" t="b">
        <v>1</v>
      </c>
      <c r="M70" s="86"/>
      <c r="N70" s="9"/>
      <c r="O70" s="9"/>
      <c r="P70" s="9"/>
      <c r="Q70" s="9"/>
      <c r="R70" s="8"/>
      <c r="S70" s="8"/>
      <c r="T70" s="8"/>
      <c r="U70" s="78"/>
      <c r="V70" s="8"/>
    </row>
    <row r="71" spans="1:22">
      <c r="A71" s="21">
        <v>43140</v>
      </c>
      <c r="B71" s="22">
        <v>26.285</v>
      </c>
      <c r="C71" s="20">
        <v>-1.2213453588876336E-2</v>
      </c>
      <c r="D71" s="55">
        <v>0</v>
      </c>
      <c r="E71" s="55">
        <v>5523.4547054894019</v>
      </c>
      <c r="F71" s="55">
        <v>11535.330850607757</v>
      </c>
      <c r="G71" s="55">
        <v>1</v>
      </c>
      <c r="H71" s="55">
        <v>0</v>
      </c>
      <c r="I71" s="55">
        <v>5523.4547054894019</v>
      </c>
      <c r="J71" s="55">
        <v>11535.330850607757</v>
      </c>
      <c r="K71" s="55">
        <v>1</v>
      </c>
      <c r="L71" s="57" t="b">
        <v>0</v>
      </c>
      <c r="M71" s="86"/>
      <c r="N71" s="9"/>
      <c r="O71" s="9"/>
      <c r="P71" s="9"/>
      <c r="Q71" s="9"/>
      <c r="R71" s="8"/>
      <c r="S71" s="8"/>
      <c r="T71" s="8"/>
      <c r="U71" s="78"/>
      <c r="V71" s="8"/>
    </row>
    <row r="72" spans="1:22">
      <c r="A72" s="21">
        <v>43143</v>
      </c>
      <c r="B72" s="22">
        <v>26.79</v>
      </c>
      <c r="C72" s="20">
        <v>1.9212478599961919E-2</v>
      </c>
      <c r="D72" s="55">
        <v>1</v>
      </c>
      <c r="E72" s="55">
        <v>5523.4547054894019</v>
      </c>
      <c r="F72" s="55">
        <v>11535.330850607757</v>
      </c>
      <c r="G72" s="55">
        <v>6.7876912151170822E-229</v>
      </c>
      <c r="H72" s="55">
        <v>-1.8184224765298663E-227</v>
      </c>
      <c r="I72" s="55">
        <v>5523.4547054894019</v>
      </c>
      <c r="J72" s="55">
        <v>11535.330850607757</v>
      </c>
      <c r="K72" s="55">
        <v>-1</v>
      </c>
      <c r="L72" s="57" t="b">
        <v>0</v>
      </c>
      <c r="M72" s="86"/>
      <c r="N72" s="9"/>
      <c r="O72" s="9"/>
      <c r="P72" s="9"/>
      <c r="Q72" s="9"/>
      <c r="R72" s="8"/>
      <c r="S72" s="8"/>
      <c r="T72" s="8"/>
      <c r="U72" s="78"/>
      <c r="V72" s="8"/>
    </row>
    <row r="73" spans="1:22">
      <c r="A73" s="21">
        <v>43144</v>
      </c>
      <c r="B73" s="22">
        <v>27.37</v>
      </c>
      <c r="C73" s="20">
        <v>2.1649869354236725E-2</v>
      </c>
      <c r="D73" s="55">
        <v>1</v>
      </c>
      <c r="E73" s="55">
        <v>5523.4547054894019</v>
      </c>
      <c r="F73" s="55">
        <v>11535.330850607757</v>
      </c>
      <c r="G73" s="55">
        <v>7.9596803239941674E-16</v>
      </c>
      <c r="H73" s="55">
        <v>-2.178564504677202E-14</v>
      </c>
      <c r="I73" s="55">
        <v>5523.454705489462</v>
      </c>
      <c r="J73" s="55">
        <v>11535.330850607883</v>
      </c>
      <c r="K73" s="55">
        <v>-1</v>
      </c>
      <c r="L73" s="57" t="b">
        <v>0</v>
      </c>
      <c r="M73" s="86"/>
      <c r="N73" s="9"/>
      <c r="O73" s="9"/>
      <c r="P73" s="9"/>
      <c r="Q73" s="9"/>
      <c r="R73" s="8"/>
      <c r="S73" s="8"/>
      <c r="T73" s="8"/>
      <c r="U73" s="78"/>
      <c r="V73" s="8"/>
    </row>
    <row r="74" spans="1:22">
      <c r="A74" s="21">
        <v>43145</v>
      </c>
      <c r="B74" s="22">
        <v>27.86</v>
      </c>
      <c r="C74" s="20">
        <v>1.790281329923268E-2</v>
      </c>
      <c r="D74" s="55">
        <v>1</v>
      </c>
      <c r="E74" s="55">
        <v>5523.454705489462</v>
      </c>
      <c r="F74" s="55">
        <v>11535.330850607883</v>
      </c>
      <c r="G74" s="55">
        <v>1</v>
      </c>
      <c r="H74" s="55">
        <v>0</v>
      </c>
      <c r="I74" s="55">
        <v>5523.454705489462</v>
      </c>
      <c r="J74" s="55">
        <v>11535.330850607883</v>
      </c>
      <c r="K74" s="55">
        <v>1</v>
      </c>
      <c r="L74" s="55" t="b">
        <v>1</v>
      </c>
      <c r="M74" s="86"/>
      <c r="N74" s="9"/>
      <c r="O74" s="9"/>
      <c r="P74" s="9"/>
      <c r="Q74" s="9"/>
      <c r="R74" s="8"/>
      <c r="S74" s="8"/>
      <c r="T74" s="8"/>
      <c r="U74" s="78"/>
      <c r="V74" s="8"/>
    </row>
    <row r="75" spans="1:22">
      <c r="A75" s="21">
        <v>43146</v>
      </c>
      <c r="B75" s="22">
        <v>28.22</v>
      </c>
      <c r="C75" s="20">
        <v>1.2921751615218932E-2</v>
      </c>
      <c r="D75" s="55">
        <v>1</v>
      </c>
      <c r="E75" s="55">
        <v>5523.454705489462</v>
      </c>
      <c r="F75" s="55">
        <v>11535.330850607883</v>
      </c>
      <c r="G75" s="55">
        <v>1</v>
      </c>
      <c r="H75" s="55">
        <v>0</v>
      </c>
      <c r="I75" s="55">
        <v>5523.454705489462</v>
      </c>
      <c r="J75" s="55">
        <v>11535.330850607883</v>
      </c>
      <c r="K75" s="55">
        <v>1</v>
      </c>
      <c r="L75" s="55" t="b">
        <v>1</v>
      </c>
      <c r="M75" s="86"/>
      <c r="N75" s="9"/>
      <c r="O75" s="9"/>
      <c r="P75" s="9"/>
      <c r="Q75" s="9"/>
      <c r="R75" s="8"/>
      <c r="S75" s="8"/>
      <c r="T75" s="8"/>
      <c r="U75" s="78"/>
      <c r="V75" s="8"/>
    </row>
    <row r="76" spans="1:22">
      <c r="A76" s="21">
        <v>43147</v>
      </c>
      <c r="B76" s="22">
        <v>28.434999999999999</v>
      </c>
      <c r="C76" s="20">
        <v>7.6187101346562678E-3</v>
      </c>
      <c r="D76" s="55">
        <v>1</v>
      </c>
      <c r="E76" s="55">
        <v>5523.454705489462</v>
      </c>
      <c r="F76" s="55">
        <v>11535.330850607883</v>
      </c>
      <c r="G76" s="55">
        <v>1</v>
      </c>
      <c r="H76" s="55">
        <v>0</v>
      </c>
      <c r="I76" s="55">
        <v>5523.454705489462</v>
      </c>
      <c r="J76" s="55">
        <v>11535.330850607883</v>
      </c>
      <c r="K76" s="55">
        <v>1</v>
      </c>
      <c r="L76" s="55" t="b">
        <v>1</v>
      </c>
      <c r="M76" s="86"/>
      <c r="N76" s="9"/>
      <c r="O76" s="9"/>
      <c r="P76" s="9"/>
      <c r="Q76" s="9"/>
      <c r="R76" s="8"/>
      <c r="S76" s="8"/>
      <c r="T76" s="8"/>
      <c r="U76" s="78"/>
      <c r="V76" s="8"/>
    </row>
    <row r="77" spans="1:22">
      <c r="A77" s="21">
        <v>43150</v>
      </c>
      <c r="B77" s="22">
        <v>28.795000000000002</v>
      </c>
      <c r="C77" s="20">
        <v>1.2660453666256479E-2</v>
      </c>
      <c r="D77" s="55">
        <v>1</v>
      </c>
      <c r="E77" s="55">
        <v>5523.454705489462</v>
      </c>
      <c r="F77" s="55">
        <v>11535.330850607883</v>
      </c>
      <c r="G77" s="55">
        <v>1</v>
      </c>
      <c r="H77" s="55">
        <v>0</v>
      </c>
      <c r="I77" s="55">
        <v>5523.454705489462</v>
      </c>
      <c r="J77" s="55">
        <v>11535.330850607883</v>
      </c>
      <c r="K77" s="55">
        <v>1</v>
      </c>
      <c r="L77" s="55" t="b">
        <v>1</v>
      </c>
      <c r="M77" s="86"/>
      <c r="N77" s="9"/>
      <c r="O77" s="9"/>
      <c r="P77" s="9"/>
      <c r="Q77" s="9"/>
      <c r="R77" s="8"/>
      <c r="S77" s="8"/>
      <c r="T77" s="8"/>
      <c r="U77" s="78"/>
      <c r="V77" s="8"/>
    </row>
    <row r="78" spans="1:22">
      <c r="A78" s="21">
        <v>43151</v>
      </c>
      <c r="B78" s="22">
        <v>28.835000000000001</v>
      </c>
      <c r="C78" s="20">
        <v>1.3891300573015853E-3</v>
      </c>
      <c r="D78" s="55">
        <v>1</v>
      </c>
      <c r="E78" s="55">
        <v>5523.454705489462</v>
      </c>
      <c r="F78" s="55">
        <v>11535.330850607883</v>
      </c>
      <c r="G78" s="55">
        <v>1</v>
      </c>
      <c r="H78" s="55">
        <v>0</v>
      </c>
      <c r="I78" s="55">
        <v>5523.454705489462</v>
      </c>
      <c r="J78" s="55">
        <v>11535.330850607883</v>
      </c>
      <c r="K78" s="55">
        <v>1</v>
      </c>
      <c r="L78" s="55" t="b">
        <v>1</v>
      </c>
      <c r="M78" s="86"/>
      <c r="N78" s="9"/>
      <c r="O78" s="9"/>
      <c r="P78" s="9"/>
      <c r="Q78" s="9"/>
      <c r="R78" s="8"/>
      <c r="S78" s="8"/>
      <c r="T78" s="8"/>
      <c r="U78" s="78"/>
      <c r="V78" s="8"/>
    </row>
    <row r="79" spans="1:22">
      <c r="A79" s="21">
        <v>43152</v>
      </c>
      <c r="B79" s="22">
        <v>28.6</v>
      </c>
      <c r="C79" s="20">
        <v>-8.1498179295994254E-3</v>
      </c>
      <c r="D79" s="55">
        <v>0</v>
      </c>
      <c r="E79" s="55">
        <v>5523.454705489462</v>
      </c>
      <c r="F79" s="55">
        <v>11535.330850607883</v>
      </c>
      <c r="G79" s="55">
        <v>1</v>
      </c>
      <c r="H79" s="55">
        <v>0</v>
      </c>
      <c r="I79" s="55">
        <v>5523.454705489462</v>
      </c>
      <c r="J79" s="55">
        <v>11535.330850607883</v>
      </c>
      <c r="K79" s="55">
        <v>1</v>
      </c>
      <c r="L79" s="57" t="b">
        <v>0</v>
      </c>
      <c r="M79" s="86"/>
      <c r="N79" s="9"/>
      <c r="O79" s="9"/>
      <c r="P79" s="9"/>
      <c r="Q79" s="9"/>
      <c r="R79" s="8"/>
      <c r="S79" s="8"/>
      <c r="T79" s="8"/>
      <c r="U79" s="78"/>
      <c r="V79" s="8"/>
    </row>
    <row r="80" spans="1:22">
      <c r="A80" s="21">
        <v>43153</v>
      </c>
      <c r="B80" s="22">
        <v>28.54</v>
      </c>
      <c r="C80" s="20">
        <v>-2.0979020979021773E-3</v>
      </c>
      <c r="D80" s="55">
        <v>0</v>
      </c>
      <c r="E80" s="55">
        <v>5523.454705489462</v>
      </c>
      <c r="F80" s="55">
        <v>11535.330850607883</v>
      </c>
      <c r="G80" s="55">
        <v>2.5664684817088639E-13</v>
      </c>
      <c r="H80" s="55">
        <v>-7.3247010467951516E-12</v>
      </c>
      <c r="I80" s="55">
        <v>5523.4547055096909</v>
      </c>
      <c r="J80" s="55">
        <v>11535.330850650129</v>
      </c>
      <c r="K80" s="55">
        <v>-1</v>
      </c>
      <c r="L80" s="55" t="b">
        <v>1</v>
      </c>
      <c r="M80" s="86"/>
      <c r="N80" s="9"/>
      <c r="O80" s="9"/>
      <c r="P80" s="9"/>
      <c r="Q80" s="9"/>
      <c r="R80" s="8"/>
      <c r="S80" s="8"/>
      <c r="T80" s="8"/>
      <c r="U80" s="78"/>
      <c r="V80" s="8"/>
    </row>
    <row r="81" spans="1:22">
      <c r="A81" s="21">
        <v>43154</v>
      </c>
      <c r="B81" s="22">
        <v>28.19</v>
      </c>
      <c r="C81" s="20">
        <v>-1.226348983882263E-2</v>
      </c>
      <c r="D81" s="55">
        <v>0</v>
      </c>
      <c r="E81" s="55">
        <v>5523.4547055096909</v>
      </c>
      <c r="F81" s="55">
        <v>11535.330850650129</v>
      </c>
      <c r="G81" s="55">
        <v>1.3776799281751376E-46</v>
      </c>
      <c r="H81" s="55">
        <v>-3.883679717525713E-45</v>
      </c>
      <c r="I81" s="55">
        <v>5523.4547055096909</v>
      </c>
      <c r="J81" s="55">
        <v>11535.330850650129</v>
      </c>
      <c r="K81" s="55">
        <v>-1</v>
      </c>
      <c r="L81" s="55" t="b">
        <v>1</v>
      </c>
      <c r="M81" s="86"/>
      <c r="N81" s="9"/>
      <c r="O81" s="9"/>
      <c r="P81" s="9"/>
      <c r="Q81" s="9"/>
      <c r="R81" s="8"/>
      <c r="S81" s="8"/>
      <c r="T81" s="8"/>
      <c r="U81" s="78"/>
      <c r="V81" s="8"/>
    </row>
    <row r="82" spans="1:22">
      <c r="A82" s="21">
        <v>43157</v>
      </c>
      <c r="B82" s="22">
        <v>28.55</v>
      </c>
      <c r="C82" s="20">
        <v>1.2770485987938965E-2</v>
      </c>
      <c r="D82" s="55">
        <v>1</v>
      </c>
      <c r="E82" s="55">
        <v>5523.4547055096909</v>
      </c>
      <c r="F82" s="55">
        <v>11535.330850650129</v>
      </c>
      <c r="G82" s="55">
        <v>1.1812559914879741E-40</v>
      </c>
      <c r="H82" s="55">
        <v>-3.3724858556981661E-39</v>
      </c>
      <c r="I82" s="55">
        <v>5523.4547055096909</v>
      </c>
      <c r="J82" s="55">
        <v>11535.330850650129</v>
      </c>
      <c r="K82" s="55">
        <v>-1</v>
      </c>
      <c r="L82" s="57" t="b">
        <v>0</v>
      </c>
      <c r="M82" s="86"/>
      <c r="N82" s="9"/>
      <c r="O82" s="9"/>
      <c r="P82" s="9"/>
      <c r="Q82" s="9"/>
      <c r="R82" s="8"/>
      <c r="S82" s="8"/>
      <c r="T82" s="8"/>
      <c r="U82" s="78"/>
      <c r="V82" s="8"/>
    </row>
    <row r="83" spans="1:22">
      <c r="A83" s="21">
        <v>43158</v>
      </c>
      <c r="B83" s="22">
        <v>28.72</v>
      </c>
      <c r="C83" s="20">
        <v>5.9544658493869756E-3</v>
      </c>
      <c r="D83" s="55">
        <v>1</v>
      </c>
      <c r="E83" s="55">
        <v>5523.4547055096909</v>
      </c>
      <c r="F83" s="55">
        <v>11535.330850650129</v>
      </c>
      <c r="G83" s="55">
        <v>1.5744816864333135E-31</v>
      </c>
      <c r="H83" s="55">
        <v>-4.5219114034364765E-30</v>
      </c>
      <c r="I83" s="55">
        <v>5523.4547055096909</v>
      </c>
      <c r="J83" s="55">
        <v>11535.330850650129</v>
      </c>
      <c r="K83" s="55">
        <v>-1</v>
      </c>
      <c r="L83" s="57" t="b">
        <v>0</v>
      </c>
      <c r="M83" s="86"/>
      <c r="N83" s="9"/>
      <c r="O83" s="9"/>
      <c r="P83" s="9"/>
      <c r="Q83" s="9"/>
      <c r="R83" s="8"/>
      <c r="S83" s="8"/>
      <c r="T83" s="8"/>
      <c r="U83" s="78"/>
      <c r="V83" s="8"/>
    </row>
    <row r="84" spans="1:22">
      <c r="A84" s="21">
        <v>43159</v>
      </c>
      <c r="B84" s="22">
        <v>28.25</v>
      </c>
      <c r="C84" s="20">
        <v>-1.6364902506963749E-2</v>
      </c>
      <c r="D84" s="55">
        <v>0</v>
      </c>
      <c r="E84" s="55">
        <v>5523.4547055096909</v>
      </c>
      <c r="F84" s="55">
        <v>11535.330850650129</v>
      </c>
      <c r="G84" s="55">
        <v>1</v>
      </c>
      <c r="H84" s="55">
        <v>0</v>
      </c>
      <c r="I84" s="55">
        <v>5523.4547055096909</v>
      </c>
      <c r="J84" s="55">
        <v>11535.330850650129</v>
      </c>
      <c r="K84" s="55">
        <v>1</v>
      </c>
      <c r="L84" s="57" t="b">
        <v>0</v>
      </c>
      <c r="M84" s="86"/>
      <c r="N84" s="9"/>
      <c r="O84" s="9"/>
      <c r="P84" s="9"/>
      <c r="Q84" s="9"/>
      <c r="R84" s="8"/>
      <c r="S84" s="8"/>
      <c r="T84" s="8"/>
      <c r="U84" s="78"/>
      <c r="V84" s="8"/>
    </row>
    <row r="85" spans="1:22">
      <c r="A85" s="21">
        <v>43160</v>
      </c>
      <c r="B85" s="22">
        <v>27.715</v>
      </c>
      <c r="C85" s="20">
        <v>-1.8938053097345139E-2</v>
      </c>
      <c r="D85" s="55">
        <v>0</v>
      </c>
      <c r="E85" s="55">
        <v>5523.4547055096909</v>
      </c>
      <c r="F85" s="55">
        <v>11535.330850650129</v>
      </c>
      <c r="G85" s="55">
        <v>3.7501160412818942E-10</v>
      </c>
      <c r="H85" s="55">
        <v>-1.0393446604374473E-8</v>
      </c>
      <c r="I85" s="55">
        <v>5523.4547342135565</v>
      </c>
      <c r="J85" s="55">
        <v>11535.330910596051</v>
      </c>
      <c r="K85" s="55">
        <v>-1</v>
      </c>
      <c r="L85" s="55" t="b">
        <v>1</v>
      </c>
      <c r="M85" s="86"/>
      <c r="N85" s="9"/>
      <c r="O85" s="9"/>
      <c r="P85" s="9"/>
      <c r="Q85" s="9"/>
      <c r="R85" s="8"/>
      <c r="S85" s="8"/>
      <c r="T85" s="8"/>
      <c r="U85" s="78"/>
      <c r="V85" s="8"/>
    </row>
    <row r="86" spans="1:22">
      <c r="A86" s="21">
        <v>43161</v>
      </c>
      <c r="B86" s="22">
        <v>26.69</v>
      </c>
      <c r="C86" s="20">
        <v>-3.6983582897347954E-2</v>
      </c>
      <c r="D86" s="55">
        <v>0</v>
      </c>
      <c r="E86" s="55">
        <v>5523.4547342135565</v>
      </c>
      <c r="F86" s="55">
        <v>11535.330910596051</v>
      </c>
      <c r="G86" s="55">
        <v>3.8684237659315807E-128</v>
      </c>
      <c r="H86" s="55">
        <v>-1.0324823031271389E-126</v>
      </c>
      <c r="I86" s="55">
        <v>5523.4547342135565</v>
      </c>
      <c r="J86" s="55">
        <v>11535.330910596051</v>
      </c>
      <c r="K86" s="55">
        <v>-1</v>
      </c>
      <c r="L86" s="55" t="b">
        <v>1</v>
      </c>
      <c r="M86" s="86"/>
      <c r="N86" s="9"/>
      <c r="O86" s="9"/>
      <c r="P86" s="9"/>
      <c r="Q86" s="9"/>
      <c r="R86" s="8"/>
      <c r="S86" s="8"/>
      <c r="T86" s="8"/>
      <c r="U86" s="78"/>
      <c r="V86" s="8"/>
    </row>
    <row r="87" spans="1:22">
      <c r="A87" s="21">
        <v>43164</v>
      </c>
      <c r="B87" s="22">
        <v>26.48</v>
      </c>
      <c r="C87" s="20">
        <v>-7.8681153990258837E-3</v>
      </c>
      <c r="D87" s="55">
        <v>0</v>
      </c>
      <c r="E87" s="55">
        <v>5523.4547342135565</v>
      </c>
      <c r="F87" s="55">
        <v>11535.330910596051</v>
      </c>
      <c r="G87" s="55">
        <v>2.5645981201764359E-184</v>
      </c>
      <c r="H87" s="55">
        <v>-6.7910558222272027E-183</v>
      </c>
      <c r="I87" s="55">
        <v>5523.4547342135565</v>
      </c>
      <c r="J87" s="55">
        <v>11535.330910596051</v>
      </c>
      <c r="K87" s="55">
        <v>-1</v>
      </c>
      <c r="L87" s="55" t="b">
        <v>1</v>
      </c>
      <c r="M87" s="86"/>
      <c r="N87" s="9"/>
      <c r="O87" s="9"/>
      <c r="P87" s="9"/>
      <c r="Q87" s="9"/>
      <c r="R87" s="8"/>
      <c r="S87" s="8"/>
      <c r="T87" s="8"/>
      <c r="U87" s="78"/>
      <c r="V87" s="8"/>
    </row>
    <row r="88" spans="1:22">
      <c r="A88" s="21">
        <v>43165</v>
      </c>
      <c r="B88" s="22">
        <v>26.635000000000002</v>
      </c>
      <c r="C88" s="20">
        <v>5.853474320241735E-3</v>
      </c>
      <c r="D88" s="55">
        <v>1</v>
      </c>
      <c r="E88" s="55">
        <v>5523.4547342135565</v>
      </c>
      <c r="F88" s="55">
        <v>11535.330910596051</v>
      </c>
      <c r="G88" s="55">
        <v>7.0490850856812938E-205</v>
      </c>
      <c r="H88" s="55">
        <v>-1.8775238125712128E-203</v>
      </c>
      <c r="I88" s="55">
        <v>5523.4547342135565</v>
      </c>
      <c r="J88" s="55">
        <v>11535.330910596051</v>
      </c>
      <c r="K88" s="55">
        <v>-1</v>
      </c>
      <c r="L88" s="57" t="b">
        <v>0</v>
      </c>
      <c r="M88" s="86"/>
      <c r="N88" s="9"/>
      <c r="O88" s="9"/>
      <c r="P88" s="9"/>
      <c r="Q88" s="9"/>
      <c r="R88" s="8"/>
      <c r="S88" s="8"/>
      <c r="T88" s="8"/>
      <c r="U88" s="78"/>
      <c r="V88" s="8"/>
    </row>
    <row r="89" spans="1:22">
      <c r="A89" s="21">
        <v>43166</v>
      </c>
      <c r="B89" s="22">
        <v>26.925000000000001</v>
      </c>
      <c r="C89" s="20">
        <v>1.0887929416181684E-2</v>
      </c>
      <c r="D89" s="55">
        <v>1</v>
      </c>
      <c r="E89" s="55">
        <v>5523.4547342135565</v>
      </c>
      <c r="F89" s="55">
        <v>11535.330910596051</v>
      </c>
      <c r="G89" s="55">
        <v>4.20930728199384E-26</v>
      </c>
      <c r="H89" s="55">
        <v>-1.1333559856768414E-24</v>
      </c>
      <c r="I89" s="55">
        <v>5523.4547342135565</v>
      </c>
      <c r="J89" s="55">
        <v>11535.330910596051</v>
      </c>
      <c r="K89" s="55">
        <v>-1</v>
      </c>
      <c r="L89" s="57" t="b">
        <v>0</v>
      </c>
      <c r="M89" s="86"/>
      <c r="N89" s="9"/>
      <c r="O89" s="9"/>
      <c r="P89" s="9"/>
      <c r="Q89" s="9"/>
      <c r="R89" s="8"/>
      <c r="S89" s="8"/>
      <c r="T89" s="8"/>
      <c r="U89" s="78"/>
      <c r="V89" s="8"/>
    </row>
    <row r="90" spans="1:22">
      <c r="A90" s="21">
        <v>43167</v>
      </c>
      <c r="B90" s="22">
        <v>26.56</v>
      </c>
      <c r="C90" s="20">
        <v>-1.3556174558960148E-2</v>
      </c>
      <c r="D90" s="55">
        <v>0</v>
      </c>
      <c r="E90" s="55">
        <v>5523.4547342135565</v>
      </c>
      <c r="F90" s="55">
        <v>11535.330910596051</v>
      </c>
      <c r="G90" s="55">
        <v>1</v>
      </c>
      <c r="H90" s="55">
        <v>0</v>
      </c>
      <c r="I90" s="55">
        <v>5523.4547342135565</v>
      </c>
      <c r="J90" s="55">
        <v>11535.330910596051</v>
      </c>
      <c r="K90" s="55">
        <v>1</v>
      </c>
      <c r="L90" s="57" t="b">
        <v>0</v>
      </c>
      <c r="M90" s="86"/>
      <c r="N90" s="9"/>
      <c r="O90" s="9"/>
      <c r="P90" s="9"/>
      <c r="Q90" s="9"/>
      <c r="R90" s="8"/>
      <c r="S90" s="8"/>
      <c r="T90" s="8"/>
      <c r="U90" s="78"/>
      <c r="V90" s="8"/>
    </row>
    <row r="91" spans="1:22">
      <c r="A91" s="21">
        <v>43168</v>
      </c>
      <c r="B91" s="22">
        <v>26.39</v>
      </c>
      <c r="C91" s="20">
        <v>-6.4006024096384846E-3</v>
      </c>
      <c r="D91" s="55">
        <v>0</v>
      </c>
      <c r="E91" s="55">
        <v>5523.4547342135565</v>
      </c>
      <c r="F91" s="55">
        <v>11535.330910596051</v>
      </c>
      <c r="G91" s="55">
        <v>1</v>
      </c>
      <c r="H91" s="55">
        <v>0</v>
      </c>
      <c r="I91" s="55">
        <v>5523.4547342135565</v>
      </c>
      <c r="J91" s="55">
        <v>11535.330910596051</v>
      </c>
      <c r="K91" s="55">
        <v>1</v>
      </c>
      <c r="L91" s="57" t="b">
        <v>0</v>
      </c>
      <c r="M91" s="86"/>
      <c r="N91" s="9"/>
      <c r="O91" s="9"/>
      <c r="P91" s="9"/>
      <c r="Q91" s="9"/>
      <c r="R91" s="8"/>
      <c r="S91" s="8"/>
      <c r="T91" s="8"/>
      <c r="U91" s="78"/>
      <c r="V91" s="8"/>
    </row>
    <row r="92" spans="1:22">
      <c r="A92" s="21">
        <v>43171</v>
      </c>
      <c r="B92" s="22">
        <v>26.204999999999998</v>
      </c>
      <c r="C92" s="20">
        <v>-7.0102311481622685E-3</v>
      </c>
      <c r="D92" s="55">
        <v>0</v>
      </c>
      <c r="E92" s="55">
        <v>5523.4547342135565</v>
      </c>
      <c r="F92" s="55">
        <v>11535.330910596051</v>
      </c>
      <c r="G92" s="55">
        <v>5.4127144335662481E-84</v>
      </c>
      <c r="H92" s="55">
        <v>-1.4184018173160351E-82</v>
      </c>
      <c r="I92" s="55">
        <v>5523.4547342135565</v>
      </c>
      <c r="J92" s="55">
        <v>11535.330910596051</v>
      </c>
      <c r="K92" s="55">
        <v>-1</v>
      </c>
      <c r="L92" s="55" t="b">
        <v>1</v>
      </c>
      <c r="M92" s="86"/>
      <c r="N92" s="9"/>
      <c r="O92" s="9"/>
      <c r="P92" s="9"/>
      <c r="Q92" s="9"/>
      <c r="R92" s="8"/>
      <c r="S92" s="8"/>
      <c r="T92" s="8"/>
      <c r="U92" s="78"/>
      <c r="V92" s="8"/>
    </row>
    <row r="93" spans="1:22">
      <c r="A93" s="21">
        <v>43172</v>
      </c>
      <c r="B93" s="22">
        <v>26.465</v>
      </c>
      <c r="C93" s="20">
        <v>9.9217706544553162E-3</v>
      </c>
      <c r="D93" s="55">
        <v>1</v>
      </c>
      <c r="E93" s="55">
        <v>5523.4547342135565</v>
      </c>
      <c r="F93" s="55">
        <v>11535.330910596051</v>
      </c>
      <c r="G93" s="55">
        <v>1.3137797803077254E-49</v>
      </c>
      <c r="H93" s="55">
        <v>-3.4769181885843953E-48</v>
      </c>
      <c r="I93" s="55">
        <v>5523.4547342135565</v>
      </c>
      <c r="J93" s="55">
        <v>11535.330910596051</v>
      </c>
      <c r="K93" s="55">
        <v>-1</v>
      </c>
      <c r="L93" s="57" t="b">
        <v>0</v>
      </c>
      <c r="M93" s="86"/>
      <c r="N93" s="9"/>
      <c r="O93" s="9"/>
      <c r="P93" s="9"/>
      <c r="Q93" s="9"/>
      <c r="R93" s="8"/>
      <c r="S93" s="8"/>
      <c r="T93" s="8"/>
      <c r="U93" s="78"/>
      <c r="V93" s="8"/>
    </row>
    <row r="94" spans="1:22">
      <c r="A94" s="21">
        <v>43173</v>
      </c>
      <c r="B94" s="22">
        <v>26.48</v>
      </c>
      <c r="C94" s="20">
        <v>5.6678632155679454E-4</v>
      </c>
      <c r="D94" s="55">
        <v>1</v>
      </c>
      <c r="E94" s="55">
        <v>5523.4547342135565</v>
      </c>
      <c r="F94" s="55">
        <v>11535.330910596051</v>
      </c>
      <c r="G94" s="55">
        <v>4.7976976914744428E-12</v>
      </c>
      <c r="H94" s="55">
        <v>-1.2704303486961073E-10</v>
      </c>
      <c r="I94" s="55">
        <v>5523.454734564415</v>
      </c>
      <c r="J94" s="55">
        <v>11535.330911328792</v>
      </c>
      <c r="K94" s="55">
        <v>-1</v>
      </c>
      <c r="L94" s="57" t="b">
        <v>0</v>
      </c>
      <c r="M94" s="86"/>
      <c r="N94" s="9"/>
      <c r="O94" s="9"/>
      <c r="P94" s="9"/>
      <c r="Q94" s="9"/>
      <c r="R94" s="8"/>
      <c r="S94" s="8"/>
      <c r="T94" s="8"/>
      <c r="U94" s="78"/>
      <c r="V94" s="8"/>
    </row>
    <row r="95" spans="1:22">
      <c r="A95" s="21">
        <v>43174</v>
      </c>
      <c r="B95" s="22">
        <v>26.445</v>
      </c>
      <c r="C95" s="20">
        <v>-1.3217522658610324E-3</v>
      </c>
      <c r="D95" s="55">
        <v>0</v>
      </c>
      <c r="E95" s="55">
        <v>5523.454734564415</v>
      </c>
      <c r="F95" s="55">
        <v>11535.330911328792</v>
      </c>
      <c r="G95" s="55">
        <v>1</v>
      </c>
      <c r="H95" s="55">
        <v>0</v>
      </c>
      <c r="I95" s="55">
        <v>5523.454734564415</v>
      </c>
      <c r="J95" s="55">
        <v>11535.330911328792</v>
      </c>
      <c r="K95" s="55">
        <v>1</v>
      </c>
      <c r="L95" s="57" t="b">
        <v>0</v>
      </c>
      <c r="M95" s="86"/>
      <c r="N95" s="9"/>
      <c r="O95" s="9"/>
      <c r="P95" s="9"/>
      <c r="Q95" s="9"/>
      <c r="R95" s="8"/>
      <c r="S95" s="8"/>
      <c r="T95" s="8"/>
      <c r="U95" s="78"/>
      <c r="V95" s="8"/>
    </row>
    <row r="96" spans="1:22">
      <c r="A96" s="21">
        <v>43175</v>
      </c>
      <c r="B96" s="22">
        <v>26.645</v>
      </c>
      <c r="C96" s="20">
        <v>7.5628663263376554E-3</v>
      </c>
      <c r="D96" s="55">
        <v>1</v>
      </c>
      <c r="E96" s="55">
        <v>5523.454734564415</v>
      </c>
      <c r="F96" s="55">
        <v>11535.330911328792</v>
      </c>
      <c r="G96" s="55">
        <v>0.3180883270070971</v>
      </c>
      <c r="H96" s="55">
        <v>-5.7105215279407533</v>
      </c>
      <c r="I96" s="55">
        <v>21294.358319732601</v>
      </c>
      <c r="J96" s="55">
        <v>44471.708661860539</v>
      </c>
      <c r="K96" s="55">
        <v>-1</v>
      </c>
      <c r="L96" s="57" t="b">
        <v>0</v>
      </c>
      <c r="M96" s="86"/>
      <c r="N96" s="9"/>
      <c r="O96" s="9"/>
      <c r="P96" s="9"/>
      <c r="Q96" s="9"/>
      <c r="R96" s="8"/>
      <c r="S96" s="8"/>
      <c r="T96" s="8"/>
      <c r="U96" s="78"/>
      <c r="V96" s="8"/>
    </row>
    <row r="97" spans="1:22">
      <c r="A97" s="21">
        <v>43178</v>
      </c>
      <c r="B97" s="22">
        <v>25.765000000000001</v>
      </c>
      <c r="C97" s="20">
        <v>-3.3026834302871046E-2</v>
      </c>
      <c r="D97" s="55">
        <v>0</v>
      </c>
      <c r="E97" s="55">
        <v>21294.358319732601</v>
      </c>
      <c r="F97" s="55">
        <v>44471.708661860539</v>
      </c>
      <c r="G97" s="55">
        <v>1</v>
      </c>
      <c r="H97" s="55">
        <v>0</v>
      </c>
      <c r="I97" s="55">
        <v>21294.358319732601</v>
      </c>
      <c r="J97" s="55">
        <v>44471.708661860539</v>
      </c>
      <c r="K97" s="55">
        <v>1</v>
      </c>
      <c r="L97" s="57" t="b">
        <v>0</v>
      </c>
      <c r="M97" s="86"/>
      <c r="N97" s="9"/>
      <c r="O97" s="9"/>
      <c r="P97" s="9"/>
      <c r="Q97" s="9"/>
      <c r="R97" s="8"/>
      <c r="S97" s="8"/>
      <c r="T97" s="8"/>
      <c r="U97" s="78"/>
      <c r="V97" s="8"/>
    </row>
    <row r="98" spans="1:22">
      <c r="A98" s="21">
        <v>43179</v>
      </c>
      <c r="B98" s="22">
        <v>26.15</v>
      </c>
      <c r="C98" s="20">
        <v>1.4942751795070755E-2</v>
      </c>
      <c r="D98" s="55">
        <v>1</v>
      </c>
      <c r="E98" s="55">
        <v>21294.358319732601</v>
      </c>
      <c r="F98" s="55">
        <v>44471.708661860539</v>
      </c>
      <c r="G98" s="55">
        <v>4.314403087894814E-160</v>
      </c>
      <c r="H98" s="55">
        <v>-1.1282164074844938E-158</v>
      </c>
      <c r="I98" s="55">
        <v>21294.358319732601</v>
      </c>
      <c r="J98" s="55">
        <v>44471.708661860539</v>
      </c>
      <c r="K98" s="55">
        <v>-1</v>
      </c>
      <c r="L98" s="57" t="b">
        <v>0</v>
      </c>
      <c r="M98" s="86"/>
      <c r="N98" s="9"/>
      <c r="O98" s="9"/>
      <c r="P98" s="9"/>
      <c r="Q98" s="9"/>
      <c r="R98" s="8"/>
      <c r="S98" s="8"/>
      <c r="T98" s="8"/>
      <c r="U98" s="78"/>
      <c r="V98" s="8"/>
    </row>
    <row r="99" spans="1:22">
      <c r="A99" s="21">
        <v>43180</v>
      </c>
      <c r="B99" s="22">
        <v>27.22</v>
      </c>
      <c r="C99" s="20">
        <v>4.0917782026768657E-2</v>
      </c>
      <c r="D99" s="55">
        <v>1</v>
      </c>
      <c r="E99" s="55">
        <v>21294.358319732601</v>
      </c>
      <c r="F99" s="55">
        <v>44471.708661860539</v>
      </c>
      <c r="G99" s="55">
        <v>0</v>
      </c>
      <c r="H99" s="55">
        <v>0</v>
      </c>
      <c r="I99" s="55">
        <v>21294.358319732601</v>
      </c>
      <c r="J99" s="55">
        <v>44471.708661860539</v>
      </c>
      <c r="K99" s="55">
        <v>-1</v>
      </c>
      <c r="L99" s="57" t="b">
        <v>0</v>
      </c>
      <c r="M99" s="86"/>
      <c r="N99" s="9"/>
      <c r="O99" s="9"/>
      <c r="P99" s="9"/>
      <c r="Q99" s="9"/>
      <c r="R99" s="8"/>
      <c r="S99" s="8"/>
      <c r="T99" s="8"/>
      <c r="U99" s="78"/>
      <c r="V99" s="8"/>
    </row>
    <row r="100" spans="1:22">
      <c r="A100" s="21">
        <v>43181</v>
      </c>
      <c r="B100" s="22">
        <v>26.175000000000001</v>
      </c>
      <c r="C100" s="20">
        <v>-3.8390889052167455E-2</v>
      </c>
      <c r="D100" s="55">
        <v>0</v>
      </c>
      <c r="E100" s="55">
        <v>21294.358319732601</v>
      </c>
      <c r="F100" s="55">
        <v>44471.708661860539</v>
      </c>
      <c r="G100" s="55">
        <v>1</v>
      </c>
      <c r="H100" s="55">
        <v>0</v>
      </c>
      <c r="I100" s="55">
        <v>21294.358319732601</v>
      </c>
      <c r="J100" s="55">
        <v>44471.708661860539</v>
      </c>
      <c r="K100" s="55">
        <v>1</v>
      </c>
      <c r="L100" s="57" t="b">
        <v>0</v>
      </c>
      <c r="M100" s="86"/>
      <c r="N100" s="9"/>
      <c r="O100" s="9"/>
      <c r="P100" s="9"/>
      <c r="Q100" s="9"/>
      <c r="R100" s="8"/>
      <c r="S100" s="8"/>
      <c r="T100" s="8"/>
      <c r="U100" s="78"/>
      <c r="V100" s="8"/>
    </row>
    <row r="101" spans="1:22">
      <c r="A101" s="21">
        <v>43182</v>
      </c>
      <c r="B101" s="22">
        <v>25.29</v>
      </c>
      <c r="C101" s="20">
        <v>-3.3810888252149056E-2</v>
      </c>
      <c r="D101" s="55">
        <v>0</v>
      </c>
      <c r="E101" s="55">
        <v>21294.358319732601</v>
      </c>
      <c r="F101" s="55">
        <v>44471.708661860539</v>
      </c>
      <c r="G101" s="55">
        <v>1</v>
      </c>
      <c r="H101" s="55">
        <v>0</v>
      </c>
      <c r="I101" s="55">
        <v>21294.358319732601</v>
      </c>
      <c r="J101" s="55">
        <v>44471.708661860539</v>
      </c>
      <c r="K101" s="55">
        <v>1</v>
      </c>
      <c r="L101" s="57" t="b">
        <v>0</v>
      </c>
      <c r="M101" s="86"/>
      <c r="N101" s="9"/>
      <c r="O101" s="9"/>
      <c r="P101" s="9"/>
      <c r="Q101" s="9"/>
      <c r="R101" s="8"/>
      <c r="S101" s="8"/>
      <c r="T101" s="8"/>
      <c r="U101" s="78"/>
      <c r="V101" s="8"/>
    </row>
    <row r="102" spans="1:22">
      <c r="A102" s="21">
        <v>43185</v>
      </c>
      <c r="B102" s="22">
        <v>24.905000000000001</v>
      </c>
      <c r="C102" s="20">
        <v>-1.5223408461842548E-2</v>
      </c>
      <c r="D102" s="55">
        <v>0</v>
      </c>
      <c r="E102" s="55">
        <v>21294.358319732601</v>
      </c>
      <c r="F102" s="55">
        <v>44471.708661860539</v>
      </c>
      <c r="G102" s="55">
        <v>0</v>
      </c>
      <c r="H102" s="55">
        <v>0</v>
      </c>
      <c r="I102" s="55">
        <v>21294.358319732601</v>
      </c>
      <c r="J102" s="55">
        <v>44471.708661860539</v>
      </c>
      <c r="K102" s="55">
        <v>-1</v>
      </c>
      <c r="L102" s="55" t="b">
        <v>1</v>
      </c>
      <c r="M102" s="86"/>
      <c r="N102" s="9"/>
      <c r="O102" s="9"/>
      <c r="P102" s="9"/>
      <c r="Q102" s="9"/>
      <c r="R102" s="8"/>
      <c r="S102" s="8"/>
      <c r="T102" s="8"/>
      <c r="U102" s="78"/>
      <c r="V102" s="8"/>
    </row>
    <row r="103" spans="1:22">
      <c r="A103" s="21">
        <v>43186</v>
      </c>
      <c r="B103" s="22">
        <v>25.164999999999999</v>
      </c>
      <c r="C103" s="20">
        <v>1.0439670748845532E-2</v>
      </c>
      <c r="D103" s="55">
        <v>1</v>
      </c>
      <c r="E103" s="55">
        <v>21294.358319732601</v>
      </c>
      <c r="F103" s="55">
        <v>44471.708661860539</v>
      </c>
      <c r="G103" s="55">
        <v>0</v>
      </c>
      <c r="H103" s="55">
        <v>0</v>
      </c>
      <c r="I103" s="55">
        <v>21294.358319732601</v>
      </c>
      <c r="J103" s="55">
        <v>44471.708661860539</v>
      </c>
      <c r="K103" s="55">
        <v>-1</v>
      </c>
      <c r="L103" s="57" t="b">
        <v>0</v>
      </c>
      <c r="M103" s="86"/>
      <c r="N103" s="9"/>
      <c r="O103" s="9"/>
      <c r="P103" s="9"/>
      <c r="Q103" s="9"/>
      <c r="R103" s="8"/>
      <c r="S103" s="8"/>
      <c r="T103" s="8"/>
      <c r="U103" s="78"/>
      <c r="V103" s="8"/>
    </row>
    <row r="104" spans="1:22">
      <c r="A104" s="21">
        <v>43187</v>
      </c>
      <c r="B104" s="22">
        <v>24.68</v>
      </c>
      <c r="C104" s="20">
        <v>-1.9272799523147206E-2</v>
      </c>
      <c r="D104" s="55">
        <v>0</v>
      </c>
      <c r="E104" s="55">
        <v>21294.358319732601</v>
      </c>
      <c r="F104" s="55">
        <v>44471.708661860539</v>
      </c>
      <c r="G104" s="55">
        <v>3.3432792048671039E-198</v>
      </c>
      <c r="H104" s="55">
        <v>-8.2512130776120127E-197</v>
      </c>
      <c r="I104" s="55">
        <v>21294.358319732601</v>
      </c>
      <c r="J104" s="55">
        <v>44471.708661860539</v>
      </c>
      <c r="K104" s="55">
        <v>-1</v>
      </c>
      <c r="L104" s="55" t="b">
        <v>1</v>
      </c>
      <c r="M104" s="86"/>
      <c r="N104" s="9"/>
      <c r="O104" s="9"/>
      <c r="P104" s="9"/>
      <c r="Q104" s="9"/>
      <c r="R104" s="8"/>
      <c r="S104" s="8"/>
      <c r="T104" s="8"/>
      <c r="U104" s="78"/>
      <c r="V104" s="8"/>
    </row>
    <row r="105" spans="1:22">
      <c r="A105" s="21">
        <v>43188</v>
      </c>
      <c r="B105" s="22">
        <v>25.7</v>
      </c>
      <c r="C105" s="20">
        <v>4.1329011345218783E-2</v>
      </c>
      <c r="D105" s="55">
        <v>1</v>
      </c>
      <c r="E105" s="55">
        <v>21294.358319732601</v>
      </c>
      <c r="F105" s="55">
        <v>44471.708661860539</v>
      </c>
      <c r="G105" s="55">
        <v>1</v>
      </c>
      <c r="H105" s="55">
        <v>0</v>
      </c>
      <c r="I105" s="55">
        <v>21294.358319732601</v>
      </c>
      <c r="J105" s="55">
        <v>44471.708661860539</v>
      </c>
      <c r="K105" s="55">
        <v>1</v>
      </c>
      <c r="L105" s="55" t="b">
        <v>1</v>
      </c>
      <c r="M105" s="86"/>
      <c r="N105" s="9"/>
      <c r="O105" s="9"/>
      <c r="P105" s="9"/>
      <c r="Q105" s="9"/>
      <c r="R105" s="8"/>
      <c r="S105" s="8"/>
      <c r="T105" s="8"/>
      <c r="U105" s="78"/>
      <c r="V105" s="8"/>
    </row>
    <row r="106" spans="1:22">
      <c r="A106" s="21">
        <v>43193</v>
      </c>
      <c r="B106" s="22">
        <v>25.67</v>
      </c>
      <c r="C106" s="20">
        <v>-1.1673151750971823E-3</v>
      </c>
      <c r="D106" s="55">
        <v>0</v>
      </c>
      <c r="E106" s="55">
        <v>21294.358319732601</v>
      </c>
      <c r="F106" s="55">
        <v>44471.708661860539</v>
      </c>
      <c r="G106" s="55">
        <v>0.99999999989535537</v>
      </c>
      <c r="H106" s="55">
        <v>-2.5815829305015193E-9</v>
      </c>
      <c r="I106" s="55">
        <v>21294.358347219175</v>
      </c>
      <c r="J106" s="55">
        <v>44471.708719264243</v>
      </c>
      <c r="K106" s="55">
        <v>1</v>
      </c>
      <c r="L106" s="57" t="b">
        <v>0</v>
      </c>
      <c r="M106" s="86"/>
      <c r="N106" s="9"/>
      <c r="O106" s="9"/>
      <c r="P106" s="9"/>
      <c r="Q106" s="9"/>
      <c r="R106" s="8"/>
      <c r="S106" s="8"/>
      <c r="T106" s="8"/>
      <c r="U106" s="78"/>
      <c r="V106" s="8"/>
    </row>
    <row r="107" spans="1:22">
      <c r="A107" s="21">
        <v>43194</v>
      </c>
      <c r="B107" s="22">
        <v>24.715</v>
      </c>
      <c r="C107" s="20">
        <v>-3.7202960654460528E-2</v>
      </c>
      <c r="D107" s="55">
        <v>0</v>
      </c>
      <c r="E107" s="55">
        <v>21294.358347219175</v>
      </c>
      <c r="F107" s="55">
        <v>44471.708719264243</v>
      </c>
      <c r="G107" s="55">
        <v>1</v>
      </c>
      <c r="H107" s="55">
        <v>0</v>
      </c>
      <c r="I107" s="55">
        <v>21294.358347219175</v>
      </c>
      <c r="J107" s="55">
        <v>44471.708719264243</v>
      </c>
      <c r="K107" s="55">
        <v>1</v>
      </c>
      <c r="L107" s="57" t="b">
        <v>0</v>
      </c>
      <c r="M107" s="86"/>
      <c r="N107" s="9"/>
      <c r="O107" s="9"/>
      <c r="P107" s="9"/>
      <c r="Q107" s="9"/>
      <c r="R107" s="8"/>
      <c r="S107" s="8"/>
      <c r="T107" s="8"/>
      <c r="U107" s="78"/>
      <c r="V107" s="8"/>
    </row>
    <row r="108" spans="1:22">
      <c r="A108" s="21">
        <v>43195</v>
      </c>
      <c r="B108" s="22">
        <v>26.094999999999999</v>
      </c>
      <c r="C108" s="20">
        <v>5.5836536516285618E-2</v>
      </c>
      <c r="D108" s="55">
        <v>1</v>
      </c>
      <c r="E108" s="55">
        <v>21294.358347219175</v>
      </c>
      <c r="F108" s="55">
        <v>44471.708719264243</v>
      </c>
      <c r="G108" s="55">
        <v>0</v>
      </c>
      <c r="H108" s="55">
        <v>0</v>
      </c>
      <c r="I108" s="55">
        <v>21294.358347219175</v>
      </c>
      <c r="J108" s="55">
        <v>44471.708719264243</v>
      </c>
      <c r="K108" s="55">
        <v>-1</v>
      </c>
      <c r="L108" s="57" t="b">
        <v>0</v>
      </c>
      <c r="M108" s="86"/>
      <c r="N108" s="9"/>
      <c r="O108" s="9"/>
      <c r="P108" s="9"/>
      <c r="Q108" s="9"/>
      <c r="R108" s="8"/>
      <c r="S108" s="8"/>
      <c r="T108" s="8"/>
      <c r="U108" s="78"/>
      <c r="V108" s="8"/>
    </row>
    <row r="109" spans="1:22">
      <c r="A109" s="21">
        <v>43196</v>
      </c>
      <c r="B109" s="22">
        <v>25.535</v>
      </c>
      <c r="C109" s="20">
        <v>-2.1460049817972743E-2</v>
      </c>
      <c r="D109" s="55">
        <v>0</v>
      </c>
      <c r="E109" s="55">
        <v>21294.358347219175</v>
      </c>
      <c r="F109" s="55">
        <v>44471.708719264243</v>
      </c>
      <c r="G109" s="55">
        <v>7.0199886677060107E-203</v>
      </c>
      <c r="H109" s="55">
        <v>-1.7925541062987299E-201</v>
      </c>
      <c r="I109" s="55">
        <v>21294.358347219175</v>
      </c>
      <c r="J109" s="55">
        <v>44471.708719264243</v>
      </c>
      <c r="K109" s="55">
        <v>-1</v>
      </c>
      <c r="L109" s="55" t="b">
        <v>1</v>
      </c>
      <c r="M109" s="86"/>
      <c r="N109" s="9"/>
      <c r="O109" s="9"/>
      <c r="P109" s="9"/>
      <c r="Q109" s="9"/>
      <c r="R109" s="8"/>
      <c r="S109" s="8"/>
      <c r="T109" s="8"/>
      <c r="U109" s="78"/>
      <c r="V109" s="8"/>
    </row>
    <row r="110" spans="1:22">
      <c r="A110" s="21">
        <v>43199</v>
      </c>
      <c r="B110" s="22">
        <v>25.52</v>
      </c>
      <c r="C110" s="20">
        <v>-5.8742901899356051E-4</v>
      </c>
      <c r="D110" s="55">
        <v>0</v>
      </c>
      <c r="E110" s="55">
        <v>21294.358347219175</v>
      </c>
      <c r="F110" s="55">
        <v>44471.708719264243</v>
      </c>
      <c r="G110" s="55">
        <v>1</v>
      </c>
      <c r="H110" s="55">
        <v>0</v>
      </c>
      <c r="I110" s="55">
        <v>21294.358347219175</v>
      </c>
      <c r="J110" s="55">
        <v>44471.708719264243</v>
      </c>
      <c r="K110" s="55">
        <v>1</v>
      </c>
      <c r="L110" s="57" t="b">
        <v>0</v>
      </c>
      <c r="M110" s="86"/>
      <c r="N110" s="9"/>
      <c r="O110" s="9"/>
      <c r="P110" s="9"/>
      <c r="Q110" s="9"/>
      <c r="R110" s="8"/>
      <c r="S110" s="8"/>
      <c r="T110" s="8"/>
      <c r="U110" s="78"/>
      <c r="V110" s="8"/>
    </row>
    <row r="111" spans="1:22">
      <c r="A111" s="21">
        <v>43200</v>
      </c>
      <c r="B111" s="22">
        <v>26.274999999999999</v>
      </c>
      <c r="C111" s="20">
        <v>2.9584639498432562E-2</v>
      </c>
      <c r="D111" s="55">
        <v>1</v>
      </c>
      <c r="E111" s="55">
        <v>21294.358347219175</v>
      </c>
      <c r="F111" s="55">
        <v>44471.708719264243</v>
      </c>
      <c r="G111" s="55">
        <v>0</v>
      </c>
      <c r="H111" s="55">
        <v>0</v>
      </c>
      <c r="I111" s="55">
        <v>21294.358347219175</v>
      </c>
      <c r="J111" s="55">
        <v>44471.708719264243</v>
      </c>
      <c r="K111" s="55">
        <v>-1</v>
      </c>
      <c r="L111" s="57" t="b">
        <v>0</v>
      </c>
      <c r="M111" s="86"/>
      <c r="N111" s="9"/>
      <c r="O111" s="9"/>
      <c r="P111" s="9"/>
      <c r="Q111" s="9"/>
      <c r="R111" s="8"/>
      <c r="S111" s="8"/>
      <c r="T111" s="8"/>
      <c r="U111" s="78"/>
      <c r="V111" s="8"/>
    </row>
    <row r="112" spans="1:22">
      <c r="A112" s="21">
        <v>43201</v>
      </c>
      <c r="B112" s="22">
        <v>25.945</v>
      </c>
      <c r="C112" s="20">
        <v>-1.2559467174119822E-2</v>
      </c>
      <c r="D112" s="55">
        <v>0</v>
      </c>
      <c r="E112" s="55">
        <v>21294.358347219175</v>
      </c>
      <c r="F112" s="55">
        <v>44471.708719264243</v>
      </c>
      <c r="G112" s="55">
        <v>1</v>
      </c>
      <c r="H112" s="55">
        <v>0</v>
      </c>
      <c r="I112" s="55">
        <v>21294.358347219175</v>
      </c>
      <c r="J112" s="55">
        <v>44471.708719264243</v>
      </c>
      <c r="K112" s="55">
        <v>1</v>
      </c>
      <c r="L112" s="57" t="b">
        <v>0</v>
      </c>
      <c r="M112" s="86"/>
      <c r="N112" s="9"/>
      <c r="O112" s="9"/>
      <c r="P112" s="9"/>
      <c r="Q112" s="9"/>
      <c r="R112" s="8"/>
      <c r="S112" s="8"/>
      <c r="T112" s="8"/>
      <c r="U112" s="78"/>
      <c r="V112" s="8"/>
    </row>
    <row r="113" spans="1:22">
      <c r="A113" s="21">
        <v>43202</v>
      </c>
      <c r="B113" s="22">
        <v>26.234999999999999</v>
      </c>
      <c r="C113" s="20">
        <v>1.1177490846020394E-2</v>
      </c>
      <c r="D113" s="55">
        <v>1</v>
      </c>
      <c r="E113" s="55">
        <v>21294.358347219175</v>
      </c>
      <c r="F113" s="55">
        <v>44471.708719264243</v>
      </c>
      <c r="G113" s="55">
        <v>1</v>
      </c>
      <c r="H113" s="55">
        <v>0</v>
      </c>
      <c r="I113" s="55">
        <v>21294.358347219175</v>
      </c>
      <c r="J113" s="55">
        <v>44471.708719264243</v>
      </c>
      <c r="K113" s="55">
        <v>1</v>
      </c>
      <c r="L113" s="55" t="b">
        <v>1</v>
      </c>
      <c r="M113" s="86"/>
      <c r="N113" s="9"/>
      <c r="O113" s="9"/>
      <c r="P113" s="9"/>
      <c r="Q113" s="9"/>
      <c r="R113" s="8"/>
      <c r="S113" s="8"/>
      <c r="T113" s="8"/>
      <c r="U113" s="78"/>
      <c r="V113" s="8"/>
    </row>
    <row r="114" spans="1:22">
      <c r="A114" s="21">
        <v>43203</v>
      </c>
      <c r="B114" s="22">
        <v>26.53</v>
      </c>
      <c r="C114" s="20">
        <v>1.1244520678483009E-2</v>
      </c>
      <c r="D114" s="55">
        <v>1</v>
      </c>
      <c r="E114" s="55">
        <v>21294.358347219175</v>
      </c>
      <c r="F114" s="55">
        <v>44471.708719264243</v>
      </c>
      <c r="G114" s="55">
        <v>6.2867401703757161E-140</v>
      </c>
      <c r="H114" s="55">
        <v>-1.6678721672006774E-138</v>
      </c>
      <c r="I114" s="55">
        <v>21294.358347219175</v>
      </c>
      <c r="J114" s="55">
        <v>44471.708719264243</v>
      </c>
      <c r="K114" s="55">
        <v>-1</v>
      </c>
      <c r="L114" s="57" t="b">
        <v>0</v>
      </c>
      <c r="M114" s="86"/>
      <c r="N114" s="9"/>
      <c r="O114" s="9"/>
      <c r="P114" s="9"/>
      <c r="Q114" s="9"/>
      <c r="R114" s="8"/>
      <c r="S114" s="8"/>
      <c r="T114" s="8"/>
      <c r="U114" s="78"/>
      <c r="V114" s="8"/>
    </row>
    <row r="115" spans="1:22">
      <c r="A115" s="21">
        <v>43206</v>
      </c>
      <c r="B115" s="22">
        <v>26.46</v>
      </c>
      <c r="C115" s="20">
        <v>-2.638522427440644E-3</v>
      </c>
      <c r="D115" s="55">
        <v>0</v>
      </c>
      <c r="E115" s="55">
        <v>21294.358347219175</v>
      </c>
      <c r="F115" s="55">
        <v>44471.708719264243</v>
      </c>
      <c r="G115" s="55">
        <v>1</v>
      </c>
      <c r="H115" s="55">
        <v>0</v>
      </c>
      <c r="I115" s="55">
        <v>21294.358347219175</v>
      </c>
      <c r="J115" s="55">
        <v>44471.708719264243</v>
      </c>
      <c r="K115" s="55">
        <v>1</v>
      </c>
      <c r="L115" s="57" t="b">
        <v>0</v>
      </c>
      <c r="M115" s="86"/>
      <c r="N115" s="9"/>
      <c r="O115" s="9"/>
      <c r="P115" s="9"/>
      <c r="Q115" s="9"/>
      <c r="R115" s="8"/>
      <c r="S115" s="8"/>
      <c r="T115" s="8"/>
      <c r="U115" s="78"/>
      <c r="V115" s="8"/>
    </row>
    <row r="116" spans="1:22">
      <c r="A116" s="21">
        <v>43207</v>
      </c>
      <c r="B116" s="22">
        <v>27</v>
      </c>
      <c r="C116" s="20">
        <v>2.040816326530609E-2</v>
      </c>
      <c r="D116" s="55">
        <v>1</v>
      </c>
      <c r="E116" s="55">
        <v>21294.358347219175</v>
      </c>
      <c r="F116" s="55">
        <v>44471.708719264243</v>
      </c>
      <c r="G116" s="55">
        <v>1</v>
      </c>
      <c r="H116" s="55">
        <v>0</v>
      </c>
      <c r="I116" s="55">
        <v>21294.358347219175</v>
      </c>
      <c r="J116" s="55">
        <v>44471.708719264243</v>
      </c>
      <c r="K116" s="55">
        <v>1</v>
      </c>
      <c r="L116" s="55" t="b">
        <v>1</v>
      </c>
      <c r="M116" s="86"/>
      <c r="N116" s="9"/>
      <c r="O116" s="9"/>
      <c r="P116" s="9"/>
      <c r="Q116" s="9"/>
      <c r="R116" s="8"/>
      <c r="S116" s="8"/>
      <c r="T116" s="8"/>
      <c r="U116" s="78"/>
      <c r="V116" s="8"/>
    </row>
    <row r="117" spans="1:22">
      <c r="A117" s="21">
        <v>43208</v>
      </c>
      <c r="B117" s="22">
        <v>28.195</v>
      </c>
      <c r="C117" s="20">
        <v>4.4259259259259269E-2</v>
      </c>
      <c r="D117" s="55">
        <v>1</v>
      </c>
      <c r="E117" s="55">
        <v>21294.358347219175</v>
      </c>
      <c r="F117" s="55">
        <v>44471.708719264243</v>
      </c>
      <c r="G117" s="55">
        <v>1</v>
      </c>
      <c r="H117" s="55">
        <v>0</v>
      </c>
      <c r="I117" s="55">
        <v>21294.358347219175</v>
      </c>
      <c r="J117" s="55">
        <v>44471.708719264243</v>
      </c>
      <c r="K117" s="55">
        <v>1</v>
      </c>
      <c r="L117" s="55" t="b">
        <v>1</v>
      </c>
      <c r="M117" s="86"/>
      <c r="N117" s="9"/>
      <c r="O117" s="9"/>
      <c r="P117" s="9"/>
      <c r="Q117" s="9"/>
      <c r="R117" s="8"/>
      <c r="S117" s="8"/>
      <c r="T117" s="8"/>
      <c r="U117" s="78"/>
      <c r="V117" s="8"/>
    </row>
    <row r="118" spans="1:22">
      <c r="A118" s="21">
        <v>43209</v>
      </c>
      <c r="B118" s="22">
        <v>28.204999999999998</v>
      </c>
      <c r="C118" s="20">
        <v>3.5467281432871112E-4</v>
      </c>
      <c r="D118" s="55">
        <v>1</v>
      </c>
      <c r="E118" s="55">
        <v>21294.358347219175</v>
      </c>
      <c r="F118" s="55">
        <v>44471.708719264243</v>
      </c>
      <c r="G118" s="55">
        <v>1</v>
      </c>
      <c r="H118" s="55">
        <v>0</v>
      </c>
      <c r="I118" s="55">
        <v>21294.358347219175</v>
      </c>
      <c r="J118" s="55">
        <v>44471.708719264243</v>
      </c>
      <c r="K118" s="55">
        <v>1</v>
      </c>
      <c r="L118" s="55" t="b">
        <v>1</v>
      </c>
      <c r="M118" s="86"/>
      <c r="N118" s="9"/>
      <c r="O118" s="9"/>
      <c r="P118" s="9"/>
      <c r="Q118" s="9"/>
      <c r="R118" s="8"/>
      <c r="S118" s="8"/>
      <c r="T118" s="8"/>
      <c r="U118" s="78"/>
      <c r="V118" s="8"/>
    </row>
    <row r="119" spans="1:22">
      <c r="A119" s="21">
        <v>43210</v>
      </c>
      <c r="B119" s="22">
        <v>28.434999999999999</v>
      </c>
      <c r="C119" s="20">
        <v>8.1545825208296559E-3</v>
      </c>
      <c r="D119" s="55">
        <v>1</v>
      </c>
      <c r="E119" s="55">
        <v>21294.358347219175</v>
      </c>
      <c r="F119" s="55">
        <v>44471.708719264243</v>
      </c>
      <c r="G119" s="55">
        <v>1</v>
      </c>
      <c r="H119" s="55">
        <v>0</v>
      </c>
      <c r="I119" s="55">
        <v>21294.358347219175</v>
      </c>
      <c r="J119" s="55">
        <v>44471.708719264243</v>
      </c>
      <c r="K119" s="55">
        <v>1</v>
      </c>
      <c r="L119" s="55" t="b">
        <v>1</v>
      </c>
      <c r="M119" s="86"/>
      <c r="N119" s="9"/>
      <c r="O119" s="9"/>
      <c r="P119" s="9"/>
      <c r="Q119" s="9"/>
      <c r="R119" s="8"/>
      <c r="S119" s="8"/>
      <c r="T119" s="8"/>
      <c r="U119" s="78"/>
      <c r="V119" s="8"/>
    </row>
    <row r="120" spans="1:22">
      <c r="A120" s="21">
        <v>43213</v>
      </c>
      <c r="B120" s="22">
        <v>28.47</v>
      </c>
      <c r="C120" s="20">
        <v>1.2308774397749302E-3</v>
      </c>
      <c r="D120" s="55">
        <v>1</v>
      </c>
      <c r="E120" s="55">
        <v>21294.358347219175</v>
      </c>
      <c r="F120" s="55">
        <v>44471.708719264243</v>
      </c>
      <c r="G120" s="55">
        <v>1</v>
      </c>
      <c r="H120" s="55">
        <v>0</v>
      </c>
      <c r="I120" s="55">
        <v>21294.358347219175</v>
      </c>
      <c r="J120" s="55">
        <v>44471.708719264243</v>
      </c>
      <c r="K120" s="55">
        <v>1</v>
      </c>
      <c r="L120" s="55" t="b">
        <v>1</v>
      </c>
      <c r="M120" s="86"/>
      <c r="N120" s="9"/>
      <c r="O120" s="9"/>
      <c r="P120" s="9"/>
      <c r="Q120" s="9"/>
      <c r="R120" s="8"/>
      <c r="S120" s="8"/>
      <c r="T120" s="8"/>
      <c r="U120" s="78"/>
      <c r="V120" s="8"/>
    </row>
    <row r="121" spans="1:22">
      <c r="A121" s="21">
        <v>43214</v>
      </c>
      <c r="B121" s="22">
        <v>28.72</v>
      </c>
      <c r="C121" s="20">
        <v>8.7811731647348089E-3</v>
      </c>
      <c r="D121" s="55">
        <v>1</v>
      </c>
      <c r="E121" s="55">
        <v>21294.358347219175</v>
      </c>
      <c r="F121" s="55">
        <v>44471.708719264243</v>
      </c>
      <c r="G121" s="55">
        <v>1</v>
      </c>
      <c r="H121" s="55">
        <v>0</v>
      </c>
      <c r="I121" s="55">
        <v>21294.358347219175</v>
      </c>
      <c r="J121" s="55">
        <v>44471.708719264243</v>
      </c>
      <c r="K121" s="55">
        <v>1</v>
      </c>
      <c r="L121" s="55" t="b">
        <v>1</v>
      </c>
      <c r="M121" s="86"/>
      <c r="N121" s="9"/>
      <c r="O121" s="9"/>
      <c r="P121" s="9"/>
      <c r="Q121" s="9"/>
      <c r="R121" s="8"/>
      <c r="S121" s="8"/>
      <c r="T121" s="8"/>
      <c r="U121" s="78"/>
      <c r="V121" s="8"/>
    </row>
    <row r="122" spans="1:22">
      <c r="A122" s="21">
        <v>43215</v>
      </c>
      <c r="B122" s="22">
        <v>27.815000000000001</v>
      </c>
      <c r="C122" s="20">
        <v>-3.1511142061281257E-2</v>
      </c>
      <c r="D122" s="55">
        <v>0</v>
      </c>
      <c r="E122" s="55">
        <v>21294.358347219175</v>
      </c>
      <c r="F122" s="55">
        <v>44471.708719264243</v>
      </c>
      <c r="G122" s="55">
        <v>1</v>
      </c>
      <c r="H122" s="55">
        <v>0</v>
      </c>
      <c r="I122" s="55">
        <v>21294.358347219175</v>
      </c>
      <c r="J122" s="55">
        <v>44471.708719264243</v>
      </c>
      <c r="K122" s="55">
        <v>1</v>
      </c>
      <c r="L122" s="57" t="b">
        <v>0</v>
      </c>
      <c r="M122" s="86"/>
      <c r="N122" s="9"/>
      <c r="O122" s="9"/>
      <c r="P122" s="9"/>
      <c r="Q122" s="9"/>
      <c r="R122" s="8"/>
      <c r="S122" s="8"/>
      <c r="T122" s="8"/>
      <c r="U122" s="78"/>
      <c r="V122" s="8"/>
    </row>
    <row r="123" spans="1:22">
      <c r="A123" s="21">
        <v>43216</v>
      </c>
      <c r="B123" s="22">
        <v>27.82</v>
      </c>
      <c r="C123" s="20">
        <v>1.797591227754451E-4</v>
      </c>
      <c r="D123" s="55">
        <v>1</v>
      </c>
      <c r="E123" s="55">
        <v>21294.358347219175</v>
      </c>
      <c r="F123" s="55">
        <v>44471.708719264243</v>
      </c>
      <c r="G123" s="55">
        <v>1.5213613480231683E-122</v>
      </c>
      <c r="H123" s="55">
        <v>-4.2324272702004545E-121</v>
      </c>
      <c r="I123" s="55">
        <v>21294.358347219175</v>
      </c>
      <c r="J123" s="55">
        <v>44471.708719264243</v>
      </c>
      <c r="K123" s="55">
        <v>-1</v>
      </c>
      <c r="L123" s="57" t="b">
        <v>0</v>
      </c>
      <c r="M123" s="86"/>
      <c r="N123" s="9"/>
      <c r="O123" s="9"/>
      <c r="P123" s="9"/>
      <c r="Q123" s="9"/>
      <c r="R123" s="8"/>
      <c r="S123" s="8"/>
      <c r="T123" s="8"/>
      <c r="U123" s="78"/>
      <c r="V123" s="8"/>
    </row>
    <row r="124" spans="1:22">
      <c r="A124" s="21">
        <v>43217</v>
      </c>
      <c r="B124" s="22">
        <v>27.805</v>
      </c>
      <c r="C124" s="20">
        <v>-5.3918044572252226E-4</v>
      </c>
      <c r="D124" s="55">
        <v>0</v>
      </c>
      <c r="E124" s="55">
        <v>21294.358347219175</v>
      </c>
      <c r="F124" s="55">
        <v>44471.708719264243</v>
      </c>
      <c r="G124" s="55">
        <v>0</v>
      </c>
      <c r="H124" s="55">
        <v>0</v>
      </c>
      <c r="I124" s="55">
        <v>21294.358347219175</v>
      </c>
      <c r="J124" s="55">
        <v>44471.708719264243</v>
      </c>
      <c r="K124" s="55">
        <v>-1</v>
      </c>
      <c r="L124" s="55" t="b">
        <v>1</v>
      </c>
      <c r="M124" s="86"/>
      <c r="N124" s="9"/>
      <c r="O124" s="9"/>
      <c r="P124" s="9"/>
      <c r="Q124" s="9"/>
      <c r="R124" s="8"/>
      <c r="S124" s="8"/>
      <c r="T124" s="8"/>
      <c r="U124" s="78"/>
      <c r="V124" s="8"/>
    </row>
    <row r="125" spans="1:22">
      <c r="A125" s="21">
        <v>43220</v>
      </c>
      <c r="B125" s="22">
        <v>28.094999999999999</v>
      </c>
      <c r="C125" s="20">
        <v>1.0429778816759544E-2</v>
      </c>
      <c r="D125" s="55">
        <v>1</v>
      </c>
      <c r="E125" s="55">
        <v>21294.358347219175</v>
      </c>
      <c r="F125" s="55">
        <v>44471.708719264243</v>
      </c>
      <c r="G125" s="55">
        <v>2.9675571548211269E-2</v>
      </c>
      <c r="H125" s="55">
        <v>-0.80813910851725734</v>
      </c>
      <c r="I125" s="55">
        <v>29898.760232803535</v>
      </c>
      <c r="J125" s="55">
        <v>62441.372238576914</v>
      </c>
      <c r="K125" s="55">
        <v>-1</v>
      </c>
      <c r="L125" s="57" t="b">
        <v>0</v>
      </c>
      <c r="M125" s="86"/>
      <c r="N125" s="9"/>
      <c r="O125" s="9"/>
      <c r="P125" s="9"/>
      <c r="Q125" s="9"/>
      <c r="R125" s="8"/>
      <c r="S125" s="8"/>
      <c r="T125" s="8"/>
      <c r="U125" s="78"/>
      <c r="V125" s="8"/>
    </row>
    <row r="126" spans="1:22">
      <c r="A126" s="21">
        <v>43222</v>
      </c>
      <c r="B126" s="22">
        <v>28.565000000000001</v>
      </c>
      <c r="C126" s="20">
        <v>1.6728955330130003E-2</v>
      </c>
      <c r="D126" s="55">
        <v>1</v>
      </c>
      <c r="E126" s="55">
        <v>29898.760232803535</v>
      </c>
      <c r="F126" s="55">
        <v>62441.372238576914</v>
      </c>
      <c r="G126" s="55">
        <v>1</v>
      </c>
      <c r="H126" s="55">
        <v>0</v>
      </c>
      <c r="I126" s="55">
        <v>29898.760232803535</v>
      </c>
      <c r="J126" s="55">
        <v>62441.372238576914</v>
      </c>
      <c r="K126" s="55">
        <v>1</v>
      </c>
      <c r="L126" s="55" t="b">
        <v>1</v>
      </c>
      <c r="M126" s="86"/>
      <c r="N126" s="9"/>
      <c r="O126" s="9"/>
      <c r="P126" s="9"/>
      <c r="Q126" s="9"/>
      <c r="R126" s="8"/>
      <c r="S126" s="8"/>
      <c r="T126" s="8"/>
      <c r="U126" s="78"/>
      <c r="V126" s="8"/>
    </row>
    <row r="127" spans="1:22">
      <c r="A127" s="21">
        <v>43223</v>
      </c>
      <c r="B127" s="22">
        <v>28.225000000000001</v>
      </c>
      <c r="C127" s="20">
        <v>-1.1902678102573073E-2</v>
      </c>
      <c r="D127" s="55">
        <v>0</v>
      </c>
      <c r="E127" s="55">
        <v>29898.760232803535</v>
      </c>
      <c r="F127" s="55">
        <v>62441.372238576914</v>
      </c>
      <c r="G127" s="55">
        <v>1</v>
      </c>
      <c r="H127" s="55">
        <v>0</v>
      </c>
      <c r="I127" s="55">
        <v>29898.760232803535</v>
      </c>
      <c r="J127" s="55">
        <v>62441.372238576914</v>
      </c>
      <c r="K127" s="55">
        <v>1</v>
      </c>
      <c r="L127" s="57" t="b">
        <v>0</v>
      </c>
      <c r="M127" s="86"/>
      <c r="N127" s="9"/>
      <c r="O127" s="9"/>
      <c r="P127" s="9"/>
      <c r="Q127" s="9"/>
      <c r="R127" s="8"/>
      <c r="S127" s="8"/>
      <c r="T127" s="8"/>
      <c r="U127" s="78"/>
      <c r="V127" s="8"/>
    </row>
    <row r="128" spans="1:22">
      <c r="A128" s="21">
        <v>43224</v>
      </c>
      <c r="B128" s="22">
        <v>29.02</v>
      </c>
      <c r="C128" s="20">
        <v>2.8166519043401173E-2</v>
      </c>
      <c r="D128" s="55">
        <v>1</v>
      </c>
      <c r="E128" s="55">
        <v>29898.760232803535</v>
      </c>
      <c r="F128" s="55">
        <v>62441.372238576914</v>
      </c>
      <c r="G128" s="55">
        <v>1</v>
      </c>
      <c r="H128" s="55">
        <v>0</v>
      </c>
      <c r="I128" s="55">
        <v>29898.760232803535</v>
      </c>
      <c r="J128" s="55">
        <v>62441.372238576914</v>
      </c>
      <c r="K128" s="55">
        <v>1</v>
      </c>
      <c r="L128" s="55" t="b">
        <v>1</v>
      </c>
      <c r="M128" s="86"/>
      <c r="N128" s="9"/>
      <c r="O128" s="9"/>
      <c r="P128" s="9"/>
      <c r="Q128" s="9"/>
      <c r="R128" s="8"/>
      <c r="S128" s="8"/>
      <c r="T128" s="8"/>
      <c r="U128" s="78"/>
      <c r="V128" s="8"/>
    </row>
    <row r="129" spans="1:22">
      <c r="A129" s="21">
        <v>43227</v>
      </c>
      <c r="B129" s="22">
        <v>29.35</v>
      </c>
      <c r="C129" s="20">
        <v>1.1371467953135832E-2</v>
      </c>
      <c r="D129" s="55">
        <v>1</v>
      </c>
      <c r="E129" s="55">
        <v>29898.760232803535</v>
      </c>
      <c r="F129" s="55">
        <v>62441.372238576914</v>
      </c>
      <c r="G129" s="55">
        <v>1</v>
      </c>
      <c r="H129" s="55">
        <v>0</v>
      </c>
      <c r="I129" s="55">
        <v>29898.760232803535</v>
      </c>
      <c r="J129" s="55">
        <v>62441.372238576914</v>
      </c>
      <c r="K129" s="55">
        <v>1</v>
      </c>
      <c r="L129" s="55" t="b">
        <v>1</v>
      </c>
      <c r="M129" s="86"/>
      <c r="N129" s="9"/>
      <c r="O129" s="9"/>
      <c r="P129" s="9"/>
      <c r="Q129" s="9"/>
      <c r="R129" s="8"/>
      <c r="S129" s="8"/>
      <c r="T129" s="8"/>
      <c r="U129" s="78"/>
      <c r="V129" s="8"/>
    </row>
    <row r="130" spans="1:22">
      <c r="A130" s="21">
        <v>43228</v>
      </c>
      <c r="B130" s="22">
        <v>29.12</v>
      </c>
      <c r="C130" s="20">
        <v>-7.8364565587734376E-3</v>
      </c>
      <c r="D130" s="55">
        <v>0</v>
      </c>
      <c r="E130" s="55">
        <v>29898.760232803535</v>
      </c>
      <c r="F130" s="55">
        <v>62441.372238576914</v>
      </c>
      <c r="G130" s="55">
        <v>1</v>
      </c>
      <c r="H130" s="55">
        <v>0</v>
      </c>
      <c r="I130" s="55">
        <v>29898.760232803535</v>
      </c>
      <c r="J130" s="55">
        <v>62441.372238576914</v>
      </c>
      <c r="K130" s="55">
        <v>1</v>
      </c>
      <c r="L130" s="57" t="b">
        <v>0</v>
      </c>
      <c r="M130" s="86"/>
      <c r="N130" s="9"/>
      <c r="O130" s="9"/>
      <c r="P130" s="9"/>
      <c r="Q130" s="9"/>
      <c r="R130" s="8"/>
      <c r="S130" s="8"/>
      <c r="T130" s="8"/>
      <c r="U130" s="78"/>
      <c r="V130" s="8"/>
    </row>
    <row r="131" spans="1:22">
      <c r="A131" s="21">
        <v>43229</v>
      </c>
      <c r="B131" s="22">
        <v>29.41</v>
      </c>
      <c r="C131" s="20">
        <v>9.9587912087911786E-3</v>
      </c>
      <c r="D131" s="55">
        <v>1</v>
      </c>
      <c r="E131" s="55">
        <v>29898.760232803535</v>
      </c>
      <c r="F131" s="55">
        <v>62441.372238576914</v>
      </c>
      <c r="G131" s="55">
        <v>1</v>
      </c>
      <c r="H131" s="55">
        <v>0</v>
      </c>
      <c r="I131" s="55">
        <v>29898.760232803535</v>
      </c>
      <c r="J131" s="55">
        <v>62441.372238576914</v>
      </c>
      <c r="K131" s="55">
        <v>1</v>
      </c>
      <c r="L131" s="55" t="b">
        <v>1</v>
      </c>
      <c r="M131" s="86"/>
      <c r="N131" s="9"/>
      <c r="O131" s="9"/>
      <c r="P131" s="9"/>
      <c r="Q131" s="9"/>
      <c r="R131" s="8"/>
      <c r="S131" s="8"/>
      <c r="T131" s="8"/>
      <c r="U131" s="78"/>
      <c r="V131" s="8"/>
    </row>
    <row r="132" spans="1:22">
      <c r="A132" s="21">
        <v>43230</v>
      </c>
      <c r="B132" s="22">
        <v>29.56</v>
      </c>
      <c r="C132" s="20">
        <v>5.1003060183610529E-3</v>
      </c>
      <c r="D132" s="55">
        <v>1</v>
      </c>
      <c r="E132" s="55">
        <v>29898.760232803535</v>
      </c>
      <c r="F132" s="55">
        <v>62441.372238576914</v>
      </c>
      <c r="G132" s="55">
        <v>6.38248394009127E-84</v>
      </c>
      <c r="H132" s="55">
        <v>-1.8866622526909793E-82</v>
      </c>
      <c r="I132" s="55">
        <v>29898.760232803535</v>
      </c>
      <c r="J132" s="55">
        <v>62441.372238576914</v>
      </c>
      <c r="K132" s="55">
        <v>-1</v>
      </c>
      <c r="L132" s="57" t="b">
        <v>0</v>
      </c>
      <c r="M132" s="86"/>
      <c r="N132" s="9"/>
      <c r="O132" s="9"/>
      <c r="P132" s="9"/>
      <c r="Q132" s="9"/>
      <c r="R132" s="8"/>
      <c r="S132" s="8"/>
      <c r="T132" s="8"/>
      <c r="U132" s="78"/>
      <c r="V132" s="8"/>
    </row>
    <row r="133" spans="1:22">
      <c r="A133" s="21">
        <v>43231</v>
      </c>
      <c r="B133" s="22">
        <v>30.225000000000001</v>
      </c>
      <c r="C133" s="20">
        <v>2.2496617050067752E-2</v>
      </c>
      <c r="D133" s="55">
        <v>1</v>
      </c>
      <c r="E133" s="55">
        <v>29898.760232803535</v>
      </c>
      <c r="F133" s="55">
        <v>62441.372238576914</v>
      </c>
      <c r="G133" s="55">
        <v>1</v>
      </c>
      <c r="H133" s="55">
        <v>0</v>
      </c>
      <c r="I133" s="55">
        <v>29898.760232803535</v>
      </c>
      <c r="J133" s="55">
        <v>62441.372238576914</v>
      </c>
      <c r="K133" s="55">
        <v>1</v>
      </c>
      <c r="L133" s="55" t="b">
        <v>1</v>
      </c>
      <c r="M133" s="86"/>
      <c r="N133" s="9"/>
      <c r="O133" s="9"/>
      <c r="P133" s="9"/>
      <c r="Q133" s="9"/>
      <c r="R133" s="8"/>
      <c r="S133" s="8"/>
      <c r="T133" s="8"/>
      <c r="U133" s="78"/>
      <c r="V133" s="8"/>
    </row>
    <row r="134" spans="1:22">
      <c r="A134" s="21">
        <v>43234</v>
      </c>
      <c r="B134" s="22">
        <v>30.475000000000001</v>
      </c>
      <c r="C134" s="20">
        <v>8.271298593879239E-3</v>
      </c>
      <c r="D134" s="55">
        <v>1</v>
      </c>
      <c r="E134" s="55">
        <v>29898.760232803535</v>
      </c>
      <c r="F134" s="55">
        <v>62441.372238576914</v>
      </c>
      <c r="G134" s="55">
        <v>1</v>
      </c>
      <c r="H134" s="55">
        <v>0</v>
      </c>
      <c r="I134" s="55">
        <v>29898.760232803535</v>
      </c>
      <c r="J134" s="55">
        <v>62441.372238576914</v>
      </c>
      <c r="K134" s="55">
        <v>1</v>
      </c>
      <c r="L134" s="55" t="b">
        <v>1</v>
      </c>
      <c r="M134" s="86"/>
      <c r="N134" s="9"/>
      <c r="O134" s="9"/>
      <c r="P134" s="9"/>
      <c r="Q134" s="9"/>
      <c r="R134" s="8"/>
      <c r="S134" s="8"/>
      <c r="T134" s="8"/>
      <c r="U134" s="78"/>
      <c r="V134" s="8"/>
    </row>
    <row r="135" spans="1:22">
      <c r="A135" s="21">
        <v>43235</v>
      </c>
      <c r="B135" s="22">
        <v>30.175000000000001</v>
      </c>
      <c r="C135" s="20">
        <v>-9.8441345365053549E-3</v>
      </c>
      <c r="D135" s="55">
        <v>0</v>
      </c>
      <c r="E135" s="55">
        <v>29898.760232803535</v>
      </c>
      <c r="F135" s="55">
        <v>62441.372238576914</v>
      </c>
      <c r="G135" s="55">
        <v>1</v>
      </c>
      <c r="H135" s="55">
        <v>0</v>
      </c>
      <c r="I135" s="55">
        <v>29898.760232803535</v>
      </c>
      <c r="J135" s="55">
        <v>62441.372238576914</v>
      </c>
      <c r="K135" s="55">
        <v>1</v>
      </c>
      <c r="L135" s="57" t="b">
        <v>0</v>
      </c>
      <c r="M135" s="86"/>
      <c r="N135" s="9"/>
      <c r="O135" s="9"/>
      <c r="P135" s="9"/>
      <c r="Q135" s="9"/>
      <c r="R135" s="8"/>
      <c r="S135" s="8"/>
      <c r="T135" s="8"/>
      <c r="U135" s="78"/>
      <c r="V135" s="8"/>
    </row>
    <row r="136" spans="1:22">
      <c r="A136" s="21">
        <v>43236</v>
      </c>
      <c r="B136" s="22">
        <v>30.49</v>
      </c>
      <c r="C136" s="20">
        <v>1.0439105219552535E-2</v>
      </c>
      <c r="D136" s="55">
        <v>1</v>
      </c>
      <c r="E136" s="55">
        <v>29898.760232803535</v>
      </c>
      <c r="F136" s="55">
        <v>62441.372238576914</v>
      </c>
      <c r="G136" s="55">
        <v>1</v>
      </c>
      <c r="H136" s="55">
        <v>0</v>
      </c>
      <c r="I136" s="55">
        <v>29898.760232803535</v>
      </c>
      <c r="J136" s="55">
        <v>62441.372238576914</v>
      </c>
      <c r="K136" s="55">
        <v>1</v>
      </c>
      <c r="L136" s="55" t="b">
        <v>1</v>
      </c>
      <c r="M136" s="86"/>
      <c r="N136" s="9"/>
      <c r="O136" s="9"/>
      <c r="P136" s="9"/>
      <c r="Q136" s="9"/>
      <c r="R136" s="8"/>
      <c r="S136" s="8"/>
      <c r="T136" s="8"/>
      <c r="U136" s="78"/>
      <c r="V136" s="8"/>
    </row>
    <row r="137" spans="1:22">
      <c r="A137" s="21">
        <v>43237</v>
      </c>
      <c r="B137" s="22">
        <v>30.62</v>
      </c>
      <c r="C137" s="20">
        <v>4.2636930141030684E-3</v>
      </c>
      <c r="D137" s="55">
        <v>1</v>
      </c>
      <c r="E137" s="55">
        <v>29898.760232803535</v>
      </c>
      <c r="F137" s="55">
        <v>62441.372238576914</v>
      </c>
      <c r="G137" s="55">
        <v>3.9600922445026908E-132</v>
      </c>
      <c r="H137" s="55">
        <v>-1.2125802452667239E-130</v>
      </c>
      <c r="I137" s="55">
        <v>29898.760232803535</v>
      </c>
      <c r="J137" s="55">
        <v>62441.372238576914</v>
      </c>
      <c r="K137" s="55">
        <v>-1</v>
      </c>
      <c r="L137" s="57" t="b">
        <v>0</v>
      </c>
      <c r="M137" s="86"/>
      <c r="N137" s="9"/>
      <c r="O137" s="9"/>
      <c r="P137" s="9"/>
      <c r="Q137" s="9"/>
      <c r="R137" s="8"/>
      <c r="S137" s="8"/>
      <c r="T137" s="8"/>
      <c r="U137" s="78"/>
      <c r="V137" s="8"/>
    </row>
    <row r="138" spans="1:22">
      <c r="A138" s="21">
        <v>43238</v>
      </c>
      <c r="B138" s="22">
        <v>30.23</v>
      </c>
      <c r="C138" s="20">
        <v>-1.2736773350751161E-2</v>
      </c>
      <c r="D138" s="55">
        <v>0</v>
      </c>
      <c r="E138" s="55">
        <v>29898.760232803535</v>
      </c>
      <c r="F138" s="55">
        <v>62441.372238576914</v>
      </c>
      <c r="G138" s="55">
        <v>1</v>
      </c>
      <c r="H138" s="55">
        <v>0</v>
      </c>
      <c r="I138" s="55">
        <v>29898.760232803535</v>
      </c>
      <c r="J138" s="55">
        <v>62441.372238576914</v>
      </c>
      <c r="K138" s="55">
        <v>1</v>
      </c>
      <c r="L138" s="57" t="b">
        <v>0</v>
      </c>
      <c r="M138" s="86"/>
      <c r="N138" s="9"/>
      <c r="O138" s="9"/>
      <c r="P138" s="9"/>
      <c r="Q138" s="9"/>
      <c r="R138" s="8"/>
      <c r="S138" s="8"/>
      <c r="T138" s="8"/>
      <c r="U138" s="78"/>
      <c r="V138" s="8"/>
    </row>
    <row r="139" spans="1:22">
      <c r="A139" s="21">
        <v>43241</v>
      </c>
      <c r="B139" s="22">
        <v>29.515000000000001</v>
      </c>
      <c r="C139" s="20">
        <v>-2.3652001323188881E-2</v>
      </c>
      <c r="D139" s="55">
        <v>0</v>
      </c>
      <c r="E139" s="55">
        <v>29898.760232803535</v>
      </c>
      <c r="F139" s="55">
        <v>62441.372238576914</v>
      </c>
      <c r="G139" s="55">
        <v>1.7269635632692985E-50</v>
      </c>
      <c r="H139" s="55">
        <v>-5.0971329569893346E-49</v>
      </c>
      <c r="I139" s="55">
        <v>29898.760232803535</v>
      </c>
      <c r="J139" s="55">
        <v>62441.372238576914</v>
      </c>
      <c r="K139" s="55">
        <v>-1</v>
      </c>
      <c r="L139" s="55" t="b">
        <v>1</v>
      </c>
      <c r="M139" s="86"/>
      <c r="N139" s="9"/>
      <c r="O139" s="9"/>
      <c r="P139" s="9"/>
      <c r="Q139" s="9"/>
      <c r="R139" s="8"/>
      <c r="S139" s="8"/>
      <c r="T139" s="8"/>
      <c r="U139" s="78"/>
      <c r="V139" s="8"/>
    </row>
    <row r="140" spans="1:22">
      <c r="A140" s="21">
        <v>43242</v>
      </c>
      <c r="B140" s="22">
        <v>30.114999999999998</v>
      </c>
      <c r="C140" s="20">
        <v>2.0328646450957069E-2</v>
      </c>
      <c r="D140" s="55">
        <v>1</v>
      </c>
      <c r="E140" s="55">
        <v>29898.760232803535</v>
      </c>
      <c r="F140" s="55">
        <v>62441.372238576914</v>
      </c>
      <c r="G140" s="55">
        <v>0</v>
      </c>
      <c r="H140" s="55">
        <v>0</v>
      </c>
      <c r="I140" s="55">
        <v>29898.760232803535</v>
      </c>
      <c r="J140" s="55">
        <v>62441.372238576914</v>
      </c>
      <c r="K140" s="55">
        <v>-1</v>
      </c>
      <c r="L140" s="57" t="b">
        <v>0</v>
      </c>
      <c r="M140" s="86"/>
      <c r="N140" s="9"/>
      <c r="O140" s="9"/>
      <c r="P140" s="9"/>
      <c r="Q140" s="9"/>
      <c r="R140" s="8"/>
      <c r="S140" s="8"/>
      <c r="T140" s="8"/>
      <c r="U140" s="78"/>
      <c r="V140" s="8"/>
    </row>
    <row r="141" spans="1:22">
      <c r="A141" s="21">
        <v>43243</v>
      </c>
      <c r="B141" s="22">
        <v>28.695</v>
      </c>
      <c r="C141" s="20">
        <v>-4.715258176988206E-2</v>
      </c>
      <c r="D141" s="55">
        <v>0</v>
      </c>
      <c r="E141" s="55">
        <v>29898.760232803535</v>
      </c>
      <c r="F141" s="55">
        <v>62441.372238576914</v>
      </c>
      <c r="G141" s="55">
        <v>0</v>
      </c>
      <c r="H141" s="55">
        <v>0</v>
      </c>
      <c r="I141" s="55">
        <v>29898.760232803535</v>
      </c>
      <c r="J141" s="55">
        <v>62441.372238576914</v>
      </c>
      <c r="K141" s="55">
        <v>-1</v>
      </c>
      <c r="L141" s="55" t="b">
        <v>1</v>
      </c>
      <c r="M141" s="86"/>
      <c r="N141" s="9"/>
      <c r="O141" s="9"/>
      <c r="P141" s="9"/>
      <c r="Q141" s="9"/>
      <c r="R141" s="8"/>
      <c r="S141" s="8"/>
      <c r="T141" s="8"/>
      <c r="U141" s="78"/>
      <c r="V141" s="8"/>
    </row>
    <row r="142" spans="1:22">
      <c r="A142" s="21">
        <v>43244</v>
      </c>
      <c r="B142" s="22">
        <v>28.56</v>
      </c>
      <c r="C142" s="20">
        <v>-4.704652378463201E-3</v>
      </c>
      <c r="D142" s="55">
        <v>0</v>
      </c>
      <c r="E142" s="55">
        <v>29898.760232803535</v>
      </c>
      <c r="F142" s="55">
        <v>62441.372238576914</v>
      </c>
      <c r="G142" s="55">
        <v>1.0025373415219806E-61</v>
      </c>
      <c r="H142" s="55">
        <v>-2.8632466473867767E-60</v>
      </c>
      <c r="I142" s="55">
        <v>29898.760232803535</v>
      </c>
      <c r="J142" s="55">
        <v>62441.372238576914</v>
      </c>
      <c r="K142" s="55">
        <v>-1</v>
      </c>
      <c r="L142" s="55" t="b">
        <v>1</v>
      </c>
      <c r="M142" s="86"/>
      <c r="N142" s="9"/>
      <c r="O142" s="9"/>
      <c r="P142" s="9"/>
      <c r="Q142" s="9"/>
      <c r="R142" s="8"/>
      <c r="S142" s="8"/>
      <c r="T142" s="8"/>
      <c r="U142" s="78"/>
      <c r="V142" s="8"/>
    </row>
    <row r="143" spans="1:22">
      <c r="A143" s="21">
        <v>43245</v>
      </c>
      <c r="B143" s="22">
        <v>28.484999999999999</v>
      </c>
      <c r="C143" s="20">
        <v>-2.6260504201680423E-3</v>
      </c>
      <c r="D143" s="55">
        <v>0</v>
      </c>
      <c r="E143" s="55">
        <v>29898.760232803535</v>
      </c>
      <c r="F143" s="55">
        <v>62441.372238576914</v>
      </c>
      <c r="G143" s="55">
        <v>0</v>
      </c>
      <c r="H143" s="55">
        <v>0</v>
      </c>
      <c r="I143" s="55">
        <v>29898.760232803535</v>
      </c>
      <c r="J143" s="55">
        <v>62441.372238576914</v>
      </c>
      <c r="K143" s="55">
        <v>-1</v>
      </c>
      <c r="L143" s="55" t="b">
        <v>1</v>
      </c>
      <c r="M143" s="86"/>
      <c r="N143" s="9"/>
      <c r="O143" s="9"/>
      <c r="P143" s="9"/>
      <c r="Q143" s="9"/>
      <c r="R143" s="8"/>
      <c r="S143" s="8"/>
      <c r="T143" s="8"/>
      <c r="U143" s="78"/>
      <c r="V143" s="8"/>
    </row>
    <row r="144" spans="1:22">
      <c r="A144" s="21">
        <v>43248</v>
      </c>
      <c r="B144" s="22">
        <v>28.17</v>
      </c>
      <c r="C144" s="20">
        <v>-1.1058451816745576E-2</v>
      </c>
      <c r="D144" s="55">
        <v>0</v>
      </c>
      <c r="E144" s="55">
        <v>29898.760232803535</v>
      </c>
      <c r="F144" s="55">
        <v>62441.372238576914</v>
      </c>
      <c r="G144" s="55">
        <v>2.0921301897307587E-162</v>
      </c>
      <c r="H144" s="55">
        <v>-5.8935307444715472E-161</v>
      </c>
      <c r="I144" s="55">
        <v>29898.760232803535</v>
      </c>
      <c r="J144" s="55">
        <v>62441.372238576914</v>
      </c>
      <c r="K144" s="55">
        <v>-1</v>
      </c>
      <c r="L144" s="55" t="b">
        <v>1</v>
      </c>
      <c r="M144" s="86"/>
      <c r="N144" s="9"/>
      <c r="O144" s="9"/>
      <c r="P144" s="9"/>
      <c r="Q144" s="9"/>
      <c r="R144" s="8"/>
      <c r="S144" s="8"/>
      <c r="T144" s="8"/>
      <c r="U144" s="78"/>
      <c r="V144" s="8"/>
    </row>
    <row r="145" spans="1:22">
      <c r="A145" s="21">
        <v>43249</v>
      </c>
      <c r="B145" s="22">
        <v>27.72</v>
      </c>
      <c r="C145" s="20">
        <v>-1.597444089456879E-2</v>
      </c>
      <c r="D145" s="55">
        <v>0</v>
      </c>
      <c r="E145" s="55">
        <v>29898.760232803535</v>
      </c>
      <c r="F145" s="55">
        <v>62441.372238576914</v>
      </c>
      <c r="G145" s="55">
        <v>1.5645586568991672E-215</v>
      </c>
      <c r="H145" s="55">
        <v>-4.3369565969244911E-214</v>
      </c>
      <c r="I145" s="55">
        <v>29898.760232803535</v>
      </c>
      <c r="J145" s="55">
        <v>62441.372238576914</v>
      </c>
      <c r="K145" s="55">
        <v>-1</v>
      </c>
      <c r="L145" s="55" t="b">
        <v>1</v>
      </c>
      <c r="M145" s="86"/>
      <c r="N145" s="9"/>
      <c r="O145" s="9"/>
      <c r="P145" s="9"/>
      <c r="Q145" s="9"/>
      <c r="R145" s="8"/>
      <c r="S145" s="8"/>
      <c r="T145" s="8"/>
      <c r="U145" s="78"/>
      <c r="V145" s="8"/>
    </row>
    <row r="146" spans="1:22">
      <c r="A146" s="21">
        <v>43250</v>
      </c>
      <c r="B146" s="22">
        <v>27.61</v>
      </c>
      <c r="C146" s="20">
        <v>-3.9682539682539481E-3</v>
      </c>
      <c r="D146" s="55">
        <v>0</v>
      </c>
      <c r="E146" s="55">
        <v>29898.760232803535</v>
      </c>
      <c r="F146" s="55">
        <v>62441.372238576914</v>
      </c>
      <c r="G146" s="55">
        <v>0</v>
      </c>
      <c r="H146" s="55">
        <v>0</v>
      </c>
      <c r="I146" s="55">
        <v>29898.760232803535</v>
      </c>
      <c r="J146" s="55">
        <v>62441.372238576914</v>
      </c>
      <c r="K146" s="55">
        <v>-1</v>
      </c>
      <c r="L146" s="55" t="b">
        <v>1</v>
      </c>
      <c r="M146" s="86"/>
      <c r="N146" s="9"/>
      <c r="O146" s="9"/>
      <c r="P146" s="9"/>
      <c r="Q146" s="9"/>
      <c r="R146" s="8"/>
      <c r="S146" s="8"/>
      <c r="T146" s="8"/>
      <c r="U146" s="78"/>
      <c r="V146" s="8"/>
    </row>
    <row r="147" spans="1:22">
      <c r="A147" s="21">
        <v>43251</v>
      </c>
      <c r="B147" s="22">
        <v>27.7</v>
      </c>
      <c r="C147" s="20">
        <v>3.259688518652657E-3</v>
      </c>
      <c r="D147" s="55">
        <v>1</v>
      </c>
      <c r="E147" s="55">
        <v>29898.760232803535</v>
      </c>
      <c r="F147" s="55">
        <v>62441.372238576914</v>
      </c>
      <c r="G147" s="55">
        <v>0</v>
      </c>
      <c r="H147" s="55">
        <v>0</v>
      </c>
      <c r="I147" s="55">
        <v>29898.760232803535</v>
      </c>
      <c r="J147" s="55">
        <v>62441.372238576914</v>
      </c>
      <c r="K147" s="55">
        <v>-1</v>
      </c>
      <c r="L147" s="57" t="b">
        <v>0</v>
      </c>
      <c r="M147" s="86"/>
      <c r="N147" s="9"/>
      <c r="O147" s="9"/>
      <c r="P147" s="9"/>
      <c r="Q147" s="9"/>
      <c r="R147" s="8"/>
      <c r="S147" s="8"/>
      <c r="T147" s="8"/>
      <c r="U147" s="78"/>
      <c r="V147" s="8"/>
    </row>
    <row r="148" spans="1:22">
      <c r="A148" s="21">
        <v>43252</v>
      </c>
      <c r="B148" s="22">
        <v>27.975000000000001</v>
      </c>
      <c r="C148" s="20">
        <v>9.9277978339350949E-3</v>
      </c>
      <c r="D148" s="55">
        <v>1</v>
      </c>
      <c r="E148" s="55">
        <v>29898.760232803535</v>
      </c>
      <c r="F148" s="55">
        <v>62441.372238576914</v>
      </c>
      <c r="G148" s="55">
        <v>5.1967759384840835E-66</v>
      </c>
      <c r="H148" s="55">
        <v>-1.4537980687909225E-64</v>
      </c>
      <c r="I148" s="55">
        <v>29898.760232803535</v>
      </c>
      <c r="J148" s="55">
        <v>62441.372238576914</v>
      </c>
      <c r="K148" s="55">
        <v>-1</v>
      </c>
      <c r="L148" s="57" t="b">
        <v>0</v>
      </c>
      <c r="M148" s="86"/>
      <c r="N148" s="9"/>
      <c r="O148" s="9"/>
      <c r="P148" s="9"/>
      <c r="Q148" s="9"/>
      <c r="R148" s="8"/>
      <c r="S148" s="8"/>
      <c r="T148" s="8"/>
      <c r="U148" s="78"/>
      <c r="V148" s="8"/>
    </row>
    <row r="149" spans="1:22">
      <c r="A149" s="21">
        <v>43255</v>
      </c>
      <c r="B149" s="22">
        <v>28.3</v>
      </c>
      <c r="C149" s="20">
        <v>1.1617515638963334E-2</v>
      </c>
      <c r="D149" s="55">
        <v>1</v>
      </c>
      <c r="E149" s="55">
        <v>29898.760232803535</v>
      </c>
      <c r="F149" s="55">
        <v>62441.372238576914</v>
      </c>
      <c r="G149" s="55">
        <v>1</v>
      </c>
      <c r="H149" s="55">
        <v>0</v>
      </c>
      <c r="I149" s="55">
        <v>29898.760232803535</v>
      </c>
      <c r="J149" s="55">
        <v>62441.372238576914</v>
      </c>
      <c r="K149" s="55">
        <v>1</v>
      </c>
      <c r="L149" s="55" t="b">
        <v>1</v>
      </c>
      <c r="M149" s="86"/>
      <c r="N149" s="9"/>
      <c r="O149" s="9"/>
      <c r="P149" s="9"/>
      <c r="Q149" s="9"/>
      <c r="R149" s="8"/>
      <c r="S149" s="8"/>
      <c r="T149" s="8"/>
      <c r="U149" s="78"/>
      <c r="V149" s="8"/>
    </row>
    <row r="150" spans="1:22">
      <c r="A150" s="21">
        <v>43256</v>
      </c>
      <c r="B150" s="22">
        <v>28.68</v>
      </c>
      <c r="C150" s="20">
        <v>1.3427561837455795E-2</v>
      </c>
      <c r="D150" s="55">
        <v>1</v>
      </c>
      <c r="E150" s="55">
        <v>29898.760232803535</v>
      </c>
      <c r="F150" s="55">
        <v>62441.372238576914</v>
      </c>
      <c r="G150" s="55">
        <v>1</v>
      </c>
      <c r="H150" s="55">
        <v>0</v>
      </c>
      <c r="I150" s="55">
        <v>29898.760232803535</v>
      </c>
      <c r="J150" s="55">
        <v>62441.372238576914</v>
      </c>
      <c r="K150" s="55">
        <v>1</v>
      </c>
      <c r="L150" s="55" t="b">
        <v>1</v>
      </c>
      <c r="M150" s="86"/>
      <c r="N150" s="9"/>
      <c r="O150" s="9"/>
      <c r="P150" s="9"/>
      <c r="Q150" s="9"/>
      <c r="R150" s="8"/>
      <c r="S150" s="8"/>
      <c r="T150" s="8"/>
      <c r="U150" s="78"/>
      <c r="V150" s="8"/>
    </row>
    <row r="151" spans="1:22">
      <c r="A151" s="21">
        <v>43257</v>
      </c>
      <c r="B151" s="22">
        <v>29.484999999999999</v>
      </c>
      <c r="C151" s="20">
        <v>2.8068340306834021E-2</v>
      </c>
      <c r="D151" s="55">
        <v>1</v>
      </c>
      <c r="E151" s="55">
        <v>29898.760232803535</v>
      </c>
      <c r="F151" s="55">
        <v>62441.372238576914</v>
      </c>
      <c r="G151" s="55">
        <v>1</v>
      </c>
      <c r="H151" s="55">
        <v>0</v>
      </c>
      <c r="I151" s="55">
        <v>29898.760232803535</v>
      </c>
      <c r="J151" s="55">
        <v>62441.372238576914</v>
      </c>
      <c r="K151" s="55">
        <v>1</v>
      </c>
      <c r="L151" s="55" t="b">
        <v>1</v>
      </c>
      <c r="M151" s="86"/>
      <c r="N151" s="9"/>
      <c r="O151" s="9"/>
      <c r="P151" s="9"/>
      <c r="Q151" s="9"/>
      <c r="R151" s="8"/>
      <c r="S151" s="8"/>
      <c r="T151" s="8"/>
      <c r="U151" s="78"/>
      <c r="V151" s="8"/>
    </row>
    <row r="152" spans="1:22">
      <c r="A152" s="21">
        <v>43258</v>
      </c>
      <c r="B152" s="22">
        <v>28.75</v>
      </c>
      <c r="C152" s="20">
        <v>-2.49279294556554E-2</v>
      </c>
      <c r="D152" s="55">
        <v>0</v>
      </c>
      <c r="E152" s="55">
        <v>29898.760232803535</v>
      </c>
      <c r="F152" s="55">
        <v>62441.372238576914</v>
      </c>
      <c r="G152" s="55">
        <v>1</v>
      </c>
      <c r="H152" s="55">
        <v>0</v>
      </c>
      <c r="I152" s="55">
        <v>29898.760232803535</v>
      </c>
      <c r="J152" s="55">
        <v>62441.372238576914</v>
      </c>
      <c r="K152" s="55">
        <v>1</v>
      </c>
      <c r="L152" s="57" t="b">
        <v>0</v>
      </c>
      <c r="M152" s="86"/>
      <c r="N152" s="9"/>
      <c r="O152" s="9"/>
      <c r="P152" s="9"/>
      <c r="Q152" s="9"/>
      <c r="R152" s="8"/>
      <c r="S152" s="8"/>
      <c r="T152" s="8"/>
      <c r="U152" s="78"/>
      <c r="V152" s="8"/>
    </row>
    <row r="153" spans="1:22">
      <c r="A153" s="21">
        <v>43259</v>
      </c>
      <c r="B153" s="22">
        <v>28.045000000000002</v>
      </c>
      <c r="C153" s="20">
        <v>-2.4521739130434723E-2</v>
      </c>
      <c r="D153" s="55">
        <v>0</v>
      </c>
      <c r="E153" s="55">
        <v>29898.760232803535</v>
      </c>
      <c r="F153" s="55">
        <v>62441.372238576914</v>
      </c>
      <c r="G153" s="55">
        <v>1</v>
      </c>
      <c r="H153" s="55">
        <v>0</v>
      </c>
      <c r="I153" s="55">
        <v>29898.760232803535</v>
      </c>
      <c r="J153" s="55">
        <v>62441.372238576914</v>
      </c>
      <c r="K153" s="55">
        <v>1</v>
      </c>
      <c r="L153" s="57" t="b">
        <v>0</v>
      </c>
      <c r="M153" s="86"/>
      <c r="N153" s="9"/>
      <c r="O153" s="9"/>
      <c r="P153" s="9"/>
      <c r="Q153" s="9"/>
      <c r="R153" s="8"/>
      <c r="S153" s="8"/>
      <c r="T153" s="8"/>
      <c r="U153" s="78"/>
      <c r="V153" s="8"/>
    </row>
    <row r="154" spans="1:22">
      <c r="A154" s="21">
        <v>43262</v>
      </c>
      <c r="B154" s="22">
        <v>28.6</v>
      </c>
      <c r="C154" s="20">
        <v>1.9789623818862533E-2</v>
      </c>
      <c r="D154" s="55">
        <v>1</v>
      </c>
      <c r="E154" s="55">
        <v>29898.760232803535</v>
      </c>
      <c r="F154" s="55">
        <v>62441.372238576914</v>
      </c>
      <c r="G154" s="55">
        <v>0</v>
      </c>
      <c r="H154" s="55">
        <v>0</v>
      </c>
      <c r="I154" s="55">
        <v>29898.760232803535</v>
      </c>
      <c r="J154" s="55">
        <v>62441.372238576914</v>
      </c>
      <c r="K154" s="55">
        <v>-1</v>
      </c>
      <c r="L154" s="57" t="b">
        <v>0</v>
      </c>
      <c r="M154" s="86"/>
      <c r="N154" s="9"/>
      <c r="O154" s="9"/>
      <c r="P154" s="9"/>
      <c r="Q154" s="9"/>
      <c r="R154" s="8"/>
      <c r="S154" s="8"/>
      <c r="T154" s="8"/>
      <c r="U154" s="78"/>
      <c r="V154" s="8"/>
    </row>
    <row r="155" spans="1:22">
      <c r="A155" s="21">
        <v>43263</v>
      </c>
      <c r="B155" s="22">
        <v>28.335000000000001</v>
      </c>
      <c r="C155" s="20">
        <v>-9.2657342657342847E-3</v>
      </c>
      <c r="D155" s="55">
        <v>0</v>
      </c>
      <c r="E155" s="55">
        <v>29898.760232803535</v>
      </c>
      <c r="F155" s="55">
        <v>62441.372238576914</v>
      </c>
      <c r="G155" s="55">
        <v>0</v>
      </c>
      <c r="H155" s="55">
        <v>0</v>
      </c>
      <c r="I155" s="55">
        <v>29898.760232803535</v>
      </c>
      <c r="J155" s="55">
        <v>62441.372238576914</v>
      </c>
      <c r="K155" s="55">
        <v>-1</v>
      </c>
      <c r="L155" s="55" t="b">
        <v>1</v>
      </c>
      <c r="M155" s="86"/>
      <c r="N155" s="9"/>
      <c r="O155" s="9"/>
      <c r="P155" s="9"/>
      <c r="Q155" s="9"/>
      <c r="R155" s="8"/>
      <c r="S155" s="8"/>
      <c r="T155" s="8"/>
      <c r="U155" s="78"/>
      <c r="V155" s="8"/>
    </row>
    <row r="156" spans="1:22">
      <c r="A156" s="21">
        <v>43264</v>
      </c>
      <c r="B156" s="22">
        <v>28.805</v>
      </c>
      <c r="C156" s="20">
        <v>1.6587259572966254E-2</v>
      </c>
      <c r="D156" s="55">
        <v>1</v>
      </c>
      <c r="E156" s="55">
        <v>29898.760232803535</v>
      </c>
      <c r="F156" s="55">
        <v>62441.372238576914</v>
      </c>
      <c r="G156" s="55">
        <v>1</v>
      </c>
      <c r="H156" s="55">
        <v>0</v>
      </c>
      <c r="I156" s="55">
        <v>29898.760232803535</v>
      </c>
      <c r="J156" s="55">
        <v>62441.372238576914</v>
      </c>
      <c r="K156" s="55">
        <v>1</v>
      </c>
      <c r="L156" s="55" t="b">
        <v>1</v>
      </c>
      <c r="M156" s="86"/>
      <c r="N156" s="9"/>
      <c r="O156" s="9"/>
      <c r="P156" s="9"/>
      <c r="Q156" s="9"/>
      <c r="R156" s="8"/>
      <c r="S156" s="8"/>
      <c r="T156" s="8"/>
      <c r="U156" s="78"/>
      <c r="V156" s="8"/>
    </row>
    <row r="157" spans="1:22">
      <c r="A157" s="21">
        <v>43265</v>
      </c>
      <c r="B157" s="22">
        <v>29.045000000000002</v>
      </c>
      <c r="C157" s="20">
        <v>8.3318868252040268E-3</v>
      </c>
      <c r="D157" s="55">
        <v>1</v>
      </c>
      <c r="E157" s="55">
        <v>29898.760232803535</v>
      </c>
      <c r="F157" s="55">
        <v>62441.372238576914</v>
      </c>
      <c r="G157" s="55">
        <v>1.3052543013523517E-36</v>
      </c>
      <c r="H157" s="55">
        <v>-3.7911111182779055E-35</v>
      </c>
      <c r="I157" s="55">
        <v>29898.760232803535</v>
      </c>
      <c r="J157" s="55">
        <v>62441.372238576914</v>
      </c>
      <c r="K157" s="55">
        <v>-1</v>
      </c>
      <c r="L157" s="57" t="b">
        <v>0</v>
      </c>
      <c r="M157" s="86"/>
      <c r="N157" s="9"/>
      <c r="O157" s="9"/>
      <c r="P157" s="9"/>
      <c r="Q157" s="9"/>
      <c r="R157" s="8"/>
      <c r="S157" s="8"/>
      <c r="T157" s="8"/>
      <c r="U157" s="78"/>
      <c r="V157" s="8"/>
    </row>
    <row r="158" spans="1:22">
      <c r="A158" s="21">
        <v>43266</v>
      </c>
      <c r="B158" s="22">
        <v>28.004999999999999</v>
      </c>
      <c r="C158" s="20">
        <v>-3.5806507144086855E-2</v>
      </c>
      <c r="D158" s="55">
        <v>0</v>
      </c>
      <c r="E158" s="55">
        <v>29898.760232803535</v>
      </c>
      <c r="F158" s="55">
        <v>62441.372238576914</v>
      </c>
      <c r="G158" s="55">
        <v>1</v>
      </c>
      <c r="H158" s="55">
        <v>0</v>
      </c>
      <c r="I158" s="55">
        <v>29898.760232803535</v>
      </c>
      <c r="J158" s="55">
        <v>62441.372238576914</v>
      </c>
      <c r="K158" s="55">
        <v>1</v>
      </c>
      <c r="L158" s="57" t="b">
        <v>0</v>
      </c>
      <c r="M158" s="86"/>
      <c r="N158" s="9"/>
      <c r="O158" s="9"/>
      <c r="P158" s="9"/>
      <c r="Q158" s="9"/>
      <c r="R158" s="8"/>
      <c r="S158" s="8"/>
      <c r="T158" s="8"/>
      <c r="U158" s="78"/>
      <c r="V158" s="8"/>
    </row>
    <row r="159" spans="1:22">
      <c r="A159" s="21">
        <v>43269</v>
      </c>
      <c r="B159" s="22">
        <v>28.14</v>
      </c>
      <c r="C159" s="20">
        <v>4.8205677557579566E-3</v>
      </c>
      <c r="D159" s="55">
        <v>1</v>
      </c>
      <c r="E159" s="55">
        <v>29898.760232803535</v>
      </c>
      <c r="F159" s="55">
        <v>62441.372238576914</v>
      </c>
      <c r="G159" s="55">
        <v>1.0021142845707485E-239</v>
      </c>
      <c r="H159" s="55">
        <v>-2.8199495967820865E-238</v>
      </c>
      <c r="I159" s="55">
        <v>29898.760232803535</v>
      </c>
      <c r="J159" s="55">
        <v>62441.372238576914</v>
      </c>
      <c r="K159" s="55">
        <v>-1</v>
      </c>
      <c r="L159" s="57" t="b">
        <v>0</v>
      </c>
      <c r="M159" s="86"/>
      <c r="N159" s="9"/>
      <c r="O159" s="9"/>
      <c r="P159" s="9"/>
      <c r="Q159" s="9"/>
      <c r="R159" s="8"/>
      <c r="S159" s="8"/>
      <c r="T159" s="8"/>
      <c r="U159" s="78"/>
      <c r="V159" s="8"/>
    </row>
    <row r="160" spans="1:22">
      <c r="A160" s="21">
        <v>43270</v>
      </c>
      <c r="B160" s="22">
        <v>27.06</v>
      </c>
      <c r="C160" s="20">
        <v>-3.8379530916844415E-2</v>
      </c>
      <c r="D160" s="55">
        <v>0</v>
      </c>
      <c r="E160" s="55">
        <v>29898.760232803535</v>
      </c>
      <c r="F160" s="55">
        <v>62441.372238576914</v>
      </c>
      <c r="G160" s="55">
        <v>0</v>
      </c>
      <c r="H160" s="55">
        <v>0</v>
      </c>
      <c r="I160" s="55">
        <v>29898.760232803535</v>
      </c>
      <c r="J160" s="55">
        <v>62441.372238576914</v>
      </c>
      <c r="K160" s="55">
        <v>-1</v>
      </c>
      <c r="L160" s="55" t="b">
        <v>1</v>
      </c>
      <c r="M160" s="86"/>
      <c r="N160" s="9"/>
      <c r="O160" s="9"/>
      <c r="P160" s="9"/>
      <c r="Q160" s="9"/>
      <c r="R160" s="8"/>
      <c r="S160" s="8"/>
      <c r="T160" s="8"/>
      <c r="U160" s="78"/>
      <c r="V160" s="8"/>
    </row>
    <row r="161" spans="1:22">
      <c r="A161" s="21">
        <v>43271</v>
      </c>
      <c r="B161" s="22">
        <v>27.17</v>
      </c>
      <c r="C161" s="20">
        <v>4.0650406504066147E-3</v>
      </c>
      <c r="D161" s="55">
        <v>1</v>
      </c>
      <c r="E161" s="55">
        <v>29898.760232803535</v>
      </c>
      <c r="F161" s="55">
        <v>62441.372238576914</v>
      </c>
      <c r="G161" s="55">
        <v>0</v>
      </c>
      <c r="H161" s="55">
        <v>0</v>
      </c>
      <c r="I161" s="55">
        <v>29898.760232803535</v>
      </c>
      <c r="J161" s="55">
        <v>62441.372238576914</v>
      </c>
      <c r="K161" s="55">
        <v>-1</v>
      </c>
      <c r="L161" s="57" t="b">
        <v>0</v>
      </c>
      <c r="M161" s="86"/>
      <c r="N161" s="9"/>
      <c r="O161" s="9"/>
      <c r="P161" s="9"/>
      <c r="Q161" s="9"/>
      <c r="R161" s="8"/>
      <c r="S161" s="8"/>
      <c r="T161" s="8"/>
      <c r="U161" s="78"/>
      <c r="V161" s="8"/>
    </row>
    <row r="162" spans="1:22">
      <c r="A162" s="21">
        <v>43272</v>
      </c>
      <c r="B162" s="22">
        <v>26.995000000000001</v>
      </c>
      <c r="C162" s="20">
        <v>-6.440927493559098E-3</v>
      </c>
      <c r="D162" s="55">
        <v>0</v>
      </c>
      <c r="E162" s="55">
        <v>29898.760232803535</v>
      </c>
      <c r="F162" s="55">
        <v>62441.372238576914</v>
      </c>
      <c r="G162" s="55">
        <v>0</v>
      </c>
      <c r="H162" s="55">
        <v>0</v>
      </c>
      <c r="I162" s="55">
        <v>29898.760232803535</v>
      </c>
      <c r="J162" s="55">
        <v>62441.372238576914</v>
      </c>
      <c r="K162" s="55">
        <v>-1</v>
      </c>
      <c r="L162" s="55" t="b">
        <v>1</v>
      </c>
      <c r="M162" s="86"/>
      <c r="N162" s="9"/>
      <c r="O162" s="9"/>
      <c r="P162" s="9"/>
      <c r="Q162" s="9"/>
      <c r="R162" s="8"/>
      <c r="S162" s="8"/>
      <c r="T162" s="8"/>
      <c r="U162" s="78"/>
      <c r="V162" s="8"/>
    </row>
    <row r="163" spans="1:22">
      <c r="A163" s="21">
        <v>43273</v>
      </c>
      <c r="B163" s="22">
        <v>27.36</v>
      </c>
      <c r="C163" s="20">
        <v>1.3521022411557638E-2</v>
      </c>
      <c r="D163" s="55">
        <v>1</v>
      </c>
      <c r="E163" s="55">
        <v>29898.760232803535</v>
      </c>
      <c r="F163" s="55">
        <v>62441.372238576914</v>
      </c>
      <c r="G163" s="55">
        <v>1</v>
      </c>
      <c r="H163" s="55">
        <v>0</v>
      </c>
      <c r="I163" s="55">
        <v>29898.760232803535</v>
      </c>
      <c r="J163" s="55">
        <v>62441.372238576914</v>
      </c>
      <c r="K163" s="55">
        <v>1</v>
      </c>
      <c r="L163" s="55" t="b">
        <v>1</v>
      </c>
      <c r="M163" s="86"/>
      <c r="N163" s="9"/>
      <c r="O163" s="9"/>
      <c r="P163" s="9"/>
      <c r="Q163" s="9"/>
      <c r="R163" s="8"/>
      <c r="S163" s="8"/>
      <c r="T163" s="8"/>
      <c r="U163" s="78"/>
      <c r="V163" s="8"/>
    </row>
    <row r="164" spans="1:22">
      <c r="A164" s="21">
        <v>43276</v>
      </c>
      <c r="B164" s="22">
        <v>25.98</v>
      </c>
      <c r="C164" s="20">
        <v>-5.0438596491228033E-2</v>
      </c>
      <c r="D164" s="55">
        <v>0</v>
      </c>
      <c r="E164" s="55">
        <v>29898.760232803535</v>
      </c>
      <c r="F164" s="55">
        <v>62441.372238576914</v>
      </c>
      <c r="G164" s="55">
        <v>0.88908769177946723</v>
      </c>
      <c r="H164" s="55">
        <v>-2.4742341351870492</v>
      </c>
      <c r="I164" s="55">
        <v>66887.02681669133</v>
      </c>
      <c r="J164" s="55">
        <v>139688.6595588809</v>
      </c>
      <c r="K164" s="55">
        <v>1</v>
      </c>
      <c r="L164" s="57" t="b">
        <v>0</v>
      </c>
      <c r="M164" s="86"/>
      <c r="N164" s="9"/>
      <c r="O164" s="9"/>
      <c r="P164" s="9"/>
      <c r="Q164" s="9"/>
      <c r="R164" s="8"/>
      <c r="S164" s="8"/>
      <c r="T164" s="8"/>
      <c r="U164" s="78"/>
      <c r="V164" s="8"/>
    </row>
    <row r="165" spans="1:22">
      <c r="A165" s="21">
        <v>43277</v>
      </c>
      <c r="B165" s="22">
        <v>25.7</v>
      </c>
      <c r="C165" s="20">
        <v>-1.0777521170130913E-2</v>
      </c>
      <c r="D165" s="55">
        <v>0</v>
      </c>
      <c r="E165" s="55">
        <v>66887.02681669133</v>
      </c>
      <c r="F165" s="55">
        <v>139688.6595588809</v>
      </c>
      <c r="G165" s="55">
        <v>0</v>
      </c>
      <c r="H165" s="55">
        <v>0</v>
      </c>
      <c r="I165" s="55">
        <v>66887.02681669133</v>
      </c>
      <c r="J165" s="55">
        <v>139688.6595588809</v>
      </c>
      <c r="K165" s="55">
        <v>-1</v>
      </c>
      <c r="L165" s="55" t="b">
        <v>1</v>
      </c>
      <c r="M165" s="86"/>
      <c r="N165" s="9"/>
      <c r="O165" s="9"/>
      <c r="P165" s="9"/>
      <c r="Q165" s="9"/>
      <c r="R165" s="8"/>
      <c r="S165" s="8"/>
      <c r="T165" s="8"/>
      <c r="U165" s="78"/>
      <c r="V165" s="8"/>
    </row>
    <row r="166" spans="1:22">
      <c r="A166" s="21">
        <v>43278</v>
      </c>
      <c r="B166" s="22">
        <v>25.7</v>
      </c>
      <c r="C166" s="20">
        <v>3.8910505835102812E-7</v>
      </c>
      <c r="D166" s="55">
        <v>1</v>
      </c>
      <c r="E166" s="55">
        <v>66887.02681669133</v>
      </c>
      <c r="F166" s="55">
        <v>139688.6595588809</v>
      </c>
      <c r="G166" s="55">
        <v>0</v>
      </c>
      <c r="H166" s="55">
        <v>0</v>
      </c>
      <c r="I166" s="55">
        <v>66887.02681669133</v>
      </c>
      <c r="J166" s="55">
        <v>139688.6595588809</v>
      </c>
      <c r="K166" s="55">
        <v>-1</v>
      </c>
      <c r="L166" s="57" t="b">
        <v>0</v>
      </c>
      <c r="M166" s="86"/>
      <c r="N166" s="9"/>
      <c r="O166" s="9"/>
      <c r="P166" s="9"/>
      <c r="Q166" s="9"/>
      <c r="R166" s="8"/>
      <c r="S166" s="8"/>
      <c r="T166" s="8"/>
      <c r="U166" s="78"/>
      <c r="V166" s="8"/>
    </row>
    <row r="167" spans="1:22">
      <c r="A167" s="21">
        <v>43279</v>
      </c>
      <c r="B167" s="22">
        <v>25.28</v>
      </c>
      <c r="C167" s="20">
        <v>-1.6342795197355868E-2</v>
      </c>
      <c r="D167" s="55">
        <v>0</v>
      </c>
      <c r="E167" s="55">
        <v>66887.02681669133</v>
      </c>
      <c r="F167" s="55">
        <v>139688.6595588809</v>
      </c>
      <c r="G167" s="55">
        <v>0</v>
      </c>
      <c r="H167" s="55">
        <v>0</v>
      </c>
      <c r="I167" s="55">
        <v>66887.02681669133</v>
      </c>
      <c r="J167" s="55">
        <v>139688.6595588809</v>
      </c>
      <c r="K167" s="55">
        <v>-1</v>
      </c>
      <c r="L167" s="55" t="b">
        <v>1</v>
      </c>
      <c r="M167" s="86"/>
      <c r="N167" s="9"/>
      <c r="O167" s="9"/>
      <c r="P167" s="9"/>
      <c r="Q167" s="9"/>
      <c r="R167" s="8"/>
      <c r="S167" s="8"/>
      <c r="T167" s="8"/>
      <c r="U167" s="78"/>
      <c r="V167" s="8"/>
    </row>
    <row r="168" spans="1:22">
      <c r="A168" s="21">
        <v>43280</v>
      </c>
      <c r="B168" s="22">
        <v>25.11</v>
      </c>
      <c r="C168" s="20">
        <v>-6.7246835443038645E-3</v>
      </c>
      <c r="D168" s="55">
        <v>0</v>
      </c>
      <c r="E168" s="55">
        <v>66887.02681669133</v>
      </c>
      <c r="F168" s="55">
        <v>139688.6595588809</v>
      </c>
      <c r="G168" s="55">
        <v>0</v>
      </c>
      <c r="H168" s="55">
        <v>0</v>
      </c>
      <c r="I168" s="55">
        <v>66887.02681669133</v>
      </c>
      <c r="J168" s="55">
        <v>139688.6595588809</v>
      </c>
      <c r="K168" s="55">
        <v>-1</v>
      </c>
      <c r="L168" s="55" t="b">
        <v>1</v>
      </c>
      <c r="M168" s="86"/>
      <c r="N168" s="9"/>
      <c r="O168" s="9"/>
      <c r="P168" s="9"/>
      <c r="Q168" s="9"/>
      <c r="R168" s="8"/>
      <c r="S168" s="8"/>
      <c r="T168" s="8"/>
      <c r="U168" s="78"/>
      <c r="V168" s="8"/>
    </row>
    <row r="169" spans="1:22">
      <c r="A169" s="21">
        <v>43283</v>
      </c>
      <c r="B169" s="22">
        <v>24.64</v>
      </c>
      <c r="C169" s="20">
        <v>-1.8717642373556307E-2</v>
      </c>
      <c r="D169" s="55">
        <v>0</v>
      </c>
      <c r="E169" s="55">
        <v>66887.02681669133</v>
      </c>
      <c r="F169" s="55">
        <v>139688.6595588809</v>
      </c>
      <c r="G169" s="55">
        <v>0</v>
      </c>
      <c r="H169" s="55">
        <v>0</v>
      </c>
      <c r="I169" s="55">
        <v>66887.02681669133</v>
      </c>
      <c r="J169" s="55">
        <v>139688.6595588809</v>
      </c>
      <c r="K169" s="55">
        <v>-1</v>
      </c>
      <c r="L169" s="55" t="b">
        <v>1</v>
      </c>
      <c r="M169" s="86"/>
      <c r="N169" s="9"/>
      <c r="O169" s="9"/>
      <c r="P169" s="9"/>
      <c r="Q169" s="9"/>
      <c r="R169" s="8"/>
      <c r="S169" s="8"/>
      <c r="T169" s="8"/>
      <c r="U169" s="78"/>
      <c r="V169" s="8"/>
    </row>
    <row r="170" spans="1:22">
      <c r="A170" s="21">
        <v>43284</v>
      </c>
      <c r="B170" s="22">
        <v>24.484999999999999</v>
      </c>
      <c r="C170" s="20">
        <v>-6.2905844155844619E-3</v>
      </c>
      <c r="D170" s="55">
        <v>0</v>
      </c>
      <c r="E170" s="55">
        <v>66887.02681669133</v>
      </c>
      <c r="F170" s="55">
        <v>139688.6595588809</v>
      </c>
      <c r="G170" s="55">
        <v>0</v>
      </c>
      <c r="H170" s="55">
        <v>0</v>
      </c>
      <c r="I170" s="55">
        <v>66887.02681669133</v>
      </c>
      <c r="J170" s="55">
        <v>139688.6595588809</v>
      </c>
      <c r="K170" s="55">
        <v>-1</v>
      </c>
      <c r="L170" s="55" t="b">
        <v>1</v>
      </c>
      <c r="M170" s="86"/>
      <c r="N170" s="9"/>
      <c r="O170" s="9"/>
      <c r="P170" s="9"/>
      <c r="Q170" s="9"/>
      <c r="R170" s="8"/>
      <c r="S170" s="8"/>
      <c r="T170" s="8"/>
      <c r="U170" s="78"/>
      <c r="V170" s="8"/>
    </row>
    <row r="171" spans="1:22">
      <c r="A171" s="21">
        <v>43285</v>
      </c>
      <c r="B171" s="22">
        <v>24.265000000000001</v>
      </c>
      <c r="C171" s="20">
        <v>-8.9850929140289516E-3</v>
      </c>
      <c r="D171" s="55">
        <v>0</v>
      </c>
      <c r="E171" s="55">
        <v>66887.02681669133</v>
      </c>
      <c r="F171" s="55">
        <v>139688.6595588809</v>
      </c>
      <c r="G171" s="55">
        <v>0</v>
      </c>
      <c r="H171" s="55">
        <v>0</v>
      </c>
      <c r="I171" s="55">
        <v>66887.02681669133</v>
      </c>
      <c r="J171" s="55">
        <v>139688.6595588809</v>
      </c>
      <c r="K171" s="55">
        <v>-1</v>
      </c>
      <c r="L171" s="55" t="b">
        <v>1</v>
      </c>
      <c r="M171" s="86"/>
      <c r="N171" s="9"/>
      <c r="O171" s="9"/>
      <c r="P171" s="9"/>
      <c r="Q171" s="9"/>
      <c r="R171" s="8"/>
      <c r="S171" s="8"/>
      <c r="T171" s="8"/>
      <c r="U171" s="78"/>
      <c r="V171" s="8"/>
    </row>
    <row r="172" spans="1:22">
      <c r="A172" s="21">
        <v>43286</v>
      </c>
      <c r="B172" s="22">
        <v>25.225000000000001</v>
      </c>
      <c r="C172" s="20">
        <v>3.9563156810220518E-2</v>
      </c>
      <c r="D172" s="55">
        <v>1</v>
      </c>
      <c r="E172" s="55">
        <v>66887.02681669133</v>
      </c>
      <c r="F172" s="55">
        <v>139688.6595588809</v>
      </c>
      <c r="G172" s="55">
        <v>0</v>
      </c>
      <c r="H172" s="55">
        <v>0</v>
      </c>
      <c r="I172" s="55">
        <v>66887.02681669133</v>
      </c>
      <c r="J172" s="55">
        <v>139688.6595588809</v>
      </c>
      <c r="K172" s="55">
        <v>-1</v>
      </c>
      <c r="L172" s="57" t="b">
        <v>0</v>
      </c>
      <c r="M172" s="86"/>
      <c r="N172" s="9"/>
      <c r="O172" s="9"/>
      <c r="P172" s="9"/>
      <c r="Q172" s="9"/>
      <c r="R172" s="8"/>
      <c r="S172" s="8"/>
      <c r="T172" s="8"/>
      <c r="U172" s="78"/>
      <c r="V172" s="8"/>
    </row>
    <row r="173" spans="1:22">
      <c r="A173" s="21">
        <v>43287</v>
      </c>
      <c r="B173" s="22">
        <v>25.46</v>
      </c>
      <c r="C173" s="20">
        <v>9.3161546085232666E-3</v>
      </c>
      <c r="D173" s="55">
        <v>1</v>
      </c>
      <c r="E173" s="55">
        <v>66887.02681669133</v>
      </c>
      <c r="F173" s="55">
        <v>139688.6595588809</v>
      </c>
      <c r="G173" s="55">
        <v>1</v>
      </c>
      <c r="H173" s="55">
        <v>0</v>
      </c>
      <c r="I173" s="55">
        <v>66887.02681669133</v>
      </c>
      <c r="J173" s="55">
        <v>139688.6595588809</v>
      </c>
      <c r="K173" s="55">
        <v>1</v>
      </c>
      <c r="L173" s="55" t="b">
        <v>1</v>
      </c>
      <c r="M173" s="86"/>
      <c r="N173" s="9"/>
      <c r="O173" s="9"/>
      <c r="P173" s="9"/>
      <c r="Q173" s="9"/>
      <c r="R173" s="8"/>
      <c r="S173" s="8"/>
      <c r="T173" s="8"/>
      <c r="U173" s="78"/>
      <c r="V173" s="8"/>
    </row>
    <row r="174" spans="1:22">
      <c r="A174" s="21">
        <v>43290</v>
      </c>
      <c r="B174" s="22">
        <v>25.765000000000001</v>
      </c>
      <c r="C174" s="20">
        <v>1.1979575805184592E-2</v>
      </c>
      <c r="D174" s="55">
        <v>1</v>
      </c>
      <c r="E174" s="55">
        <v>66887.02681669133</v>
      </c>
      <c r="F174" s="55">
        <v>139688.6595588809</v>
      </c>
      <c r="G174" s="55">
        <v>1</v>
      </c>
      <c r="H174" s="55">
        <v>0</v>
      </c>
      <c r="I174" s="55">
        <v>66887.02681669133</v>
      </c>
      <c r="J174" s="55">
        <v>139688.6595588809</v>
      </c>
      <c r="K174" s="55">
        <v>1</v>
      </c>
      <c r="L174" s="55" t="b">
        <v>1</v>
      </c>
      <c r="M174" s="86"/>
      <c r="N174" s="9"/>
      <c r="O174" s="9"/>
      <c r="P174" s="9"/>
      <c r="Q174" s="9"/>
      <c r="R174" s="8"/>
      <c r="S174" s="8"/>
      <c r="T174" s="8"/>
      <c r="U174" s="78"/>
      <c r="V174" s="8"/>
    </row>
    <row r="175" spans="1:22">
      <c r="A175" s="21">
        <v>43291</v>
      </c>
      <c r="B175" s="22">
        <v>25.67</v>
      </c>
      <c r="C175" s="20">
        <v>-3.6871725208615898E-3</v>
      </c>
      <c r="D175" s="55">
        <v>0</v>
      </c>
      <c r="E175" s="55">
        <v>66887.02681669133</v>
      </c>
      <c r="F175" s="55">
        <v>139688.6595588809</v>
      </c>
      <c r="G175" s="55">
        <v>1</v>
      </c>
      <c r="H175" s="55">
        <v>0</v>
      </c>
      <c r="I175" s="55">
        <v>66887.02681669133</v>
      </c>
      <c r="J175" s="55">
        <v>139688.6595588809</v>
      </c>
      <c r="K175" s="55">
        <v>1</v>
      </c>
      <c r="L175" s="57" t="b">
        <v>0</v>
      </c>
      <c r="M175" s="86"/>
      <c r="N175" s="9"/>
      <c r="O175" s="9"/>
      <c r="P175" s="9"/>
      <c r="Q175" s="9"/>
      <c r="R175" s="8"/>
      <c r="S175" s="8"/>
      <c r="T175" s="8"/>
      <c r="U175" s="78"/>
      <c r="V175" s="8"/>
    </row>
    <row r="176" spans="1:22">
      <c r="A176" s="21">
        <v>43292</v>
      </c>
      <c r="B176" s="22">
        <v>24.725000000000001</v>
      </c>
      <c r="C176" s="20">
        <v>-3.681340085703156E-2</v>
      </c>
      <c r="D176" s="55">
        <v>0</v>
      </c>
      <c r="E176" s="55">
        <v>66887.02681669133</v>
      </c>
      <c r="F176" s="55">
        <v>139688.6595588809</v>
      </c>
      <c r="G176" s="55">
        <v>1</v>
      </c>
      <c r="H176" s="55">
        <v>0</v>
      </c>
      <c r="I176" s="55">
        <v>66887.02681669133</v>
      </c>
      <c r="J176" s="55">
        <v>139688.6595588809</v>
      </c>
      <c r="K176" s="55">
        <v>1</v>
      </c>
      <c r="L176" s="57" t="b">
        <v>0</v>
      </c>
      <c r="M176" s="86"/>
      <c r="N176" s="9"/>
      <c r="O176" s="9"/>
      <c r="P176" s="9"/>
      <c r="Q176" s="9"/>
      <c r="R176" s="8"/>
      <c r="S176" s="8"/>
      <c r="T176" s="8"/>
      <c r="U176" s="78"/>
      <c r="V176" s="8"/>
    </row>
    <row r="177" spans="1:22">
      <c r="A177" s="21">
        <v>43293</v>
      </c>
      <c r="B177" s="22">
        <v>25.43</v>
      </c>
      <c r="C177" s="20">
        <v>2.851365015166828E-2</v>
      </c>
      <c r="D177" s="55">
        <v>1</v>
      </c>
      <c r="E177" s="55">
        <v>66887.02681669133</v>
      </c>
      <c r="F177" s="55">
        <v>139688.6595588809</v>
      </c>
      <c r="G177" s="55">
        <v>0</v>
      </c>
      <c r="H177" s="55">
        <v>0</v>
      </c>
      <c r="I177" s="55">
        <v>66887.02681669133</v>
      </c>
      <c r="J177" s="55">
        <v>139688.6595588809</v>
      </c>
      <c r="K177" s="55">
        <v>-1</v>
      </c>
      <c r="L177" s="57" t="b">
        <v>0</v>
      </c>
      <c r="M177" s="86"/>
      <c r="N177" s="9"/>
      <c r="O177" s="9"/>
      <c r="P177" s="9"/>
      <c r="Q177" s="9"/>
      <c r="R177" s="8"/>
      <c r="S177" s="8"/>
      <c r="T177" s="8"/>
      <c r="U177" s="78"/>
      <c r="V177" s="8"/>
    </row>
    <row r="178" spans="1:22">
      <c r="A178" s="21">
        <v>43294</v>
      </c>
      <c r="B178" s="22">
        <v>25.454999999999998</v>
      </c>
      <c r="C178" s="20">
        <v>9.8309083759333784E-4</v>
      </c>
      <c r="D178" s="55">
        <v>1</v>
      </c>
      <c r="E178" s="55">
        <v>66887.02681669133</v>
      </c>
      <c r="F178" s="55">
        <v>139688.6595588809</v>
      </c>
      <c r="G178" s="55">
        <v>0</v>
      </c>
      <c r="H178" s="55">
        <v>0</v>
      </c>
      <c r="I178" s="55">
        <v>66887.02681669133</v>
      </c>
      <c r="J178" s="55">
        <v>139688.6595588809</v>
      </c>
      <c r="K178" s="55">
        <v>-1</v>
      </c>
      <c r="L178" s="57" t="b">
        <v>0</v>
      </c>
      <c r="M178" s="86"/>
      <c r="N178" s="9"/>
      <c r="O178" s="9"/>
      <c r="P178" s="9"/>
      <c r="Q178" s="9"/>
      <c r="R178" s="8"/>
      <c r="S178" s="8"/>
      <c r="T178" s="8"/>
      <c r="U178" s="78"/>
      <c r="V178" s="8"/>
    </row>
    <row r="179" spans="1:22">
      <c r="A179" s="21">
        <v>43297</v>
      </c>
      <c r="B179" s="22">
        <v>25.114999999999998</v>
      </c>
      <c r="C179" s="20">
        <v>-1.3356904340993906E-2</v>
      </c>
      <c r="D179" s="55">
        <v>0</v>
      </c>
      <c r="E179" s="55">
        <v>66887.02681669133</v>
      </c>
      <c r="F179" s="55">
        <v>139688.6595588809</v>
      </c>
      <c r="G179" s="55">
        <v>1</v>
      </c>
      <c r="H179" s="55">
        <v>0</v>
      </c>
      <c r="I179" s="55">
        <v>66887.02681669133</v>
      </c>
      <c r="J179" s="55">
        <v>139688.6595588809</v>
      </c>
      <c r="K179" s="55">
        <v>1</v>
      </c>
      <c r="L179" s="57" t="b">
        <v>0</v>
      </c>
      <c r="M179" s="86"/>
      <c r="N179" s="9"/>
      <c r="O179" s="9"/>
      <c r="P179" s="9"/>
      <c r="Q179" s="9"/>
      <c r="R179" s="8"/>
      <c r="S179" s="8"/>
      <c r="T179" s="8"/>
      <c r="U179" s="78"/>
      <c r="V179" s="8"/>
    </row>
    <row r="180" spans="1:22">
      <c r="A180" s="21">
        <v>43298</v>
      </c>
      <c r="B180" s="22">
        <v>25.73</v>
      </c>
      <c r="C180" s="20">
        <v>2.4487358152498587E-2</v>
      </c>
      <c r="D180" s="55">
        <v>1</v>
      </c>
      <c r="E180" s="55">
        <v>66887.02681669133</v>
      </c>
      <c r="F180" s="55">
        <v>139688.6595588809</v>
      </c>
      <c r="G180" s="55">
        <v>0</v>
      </c>
      <c r="H180" s="55">
        <v>0</v>
      </c>
      <c r="I180" s="55">
        <v>66887.02681669133</v>
      </c>
      <c r="J180" s="55">
        <v>139688.6595588809</v>
      </c>
      <c r="K180" s="55">
        <v>-1</v>
      </c>
      <c r="L180" s="57" t="b">
        <v>0</v>
      </c>
      <c r="M180" s="86"/>
      <c r="N180" s="9"/>
      <c r="O180" s="9"/>
      <c r="P180" s="9"/>
      <c r="Q180" s="9"/>
      <c r="R180" s="8"/>
      <c r="S180" s="8"/>
      <c r="T180" s="8"/>
      <c r="U180" s="78"/>
      <c r="V180" s="8"/>
    </row>
    <row r="181" spans="1:22">
      <c r="A181" s="21">
        <v>43299</v>
      </c>
      <c r="B181" s="22">
        <v>26.484999999999999</v>
      </c>
      <c r="C181" s="20">
        <v>2.9343179168286007E-2</v>
      </c>
      <c r="D181" s="55">
        <v>1</v>
      </c>
      <c r="E181" s="55">
        <v>66887.02681669133</v>
      </c>
      <c r="F181" s="55">
        <v>139688.6595588809</v>
      </c>
      <c r="G181" s="55">
        <v>1.0350423801381546E-99</v>
      </c>
      <c r="H181" s="55">
        <v>-2.7413097437959022E-98</v>
      </c>
      <c r="I181" s="55">
        <v>66887.02681669133</v>
      </c>
      <c r="J181" s="55">
        <v>139688.6595588809</v>
      </c>
      <c r="K181" s="55">
        <v>-1</v>
      </c>
      <c r="L181" s="57" t="b">
        <v>0</v>
      </c>
      <c r="M181" s="86"/>
      <c r="N181" s="9"/>
      <c r="O181" s="9"/>
      <c r="P181" s="9"/>
      <c r="Q181" s="9"/>
      <c r="R181" s="8"/>
      <c r="S181" s="8"/>
      <c r="T181" s="8"/>
      <c r="U181" s="78"/>
      <c r="V181" s="8"/>
    </row>
    <row r="182" spans="1:22">
      <c r="A182" s="21">
        <v>43300</v>
      </c>
      <c r="B182" s="22">
        <v>25.69</v>
      </c>
      <c r="C182" s="20">
        <v>-3.0016990749480769E-2</v>
      </c>
      <c r="D182" s="55">
        <v>0</v>
      </c>
      <c r="E182" s="55">
        <v>66887.02681669133</v>
      </c>
      <c r="F182" s="55">
        <v>139688.6595588809</v>
      </c>
      <c r="G182" s="55">
        <v>1</v>
      </c>
      <c r="H182" s="55">
        <v>0</v>
      </c>
      <c r="I182" s="55">
        <v>66887.02681669133</v>
      </c>
      <c r="J182" s="55">
        <v>139688.6595588809</v>
      </c>
      <c r="K182" s="55">
        <v>1</v>
      </c>
      <c r="L182" s="57" t="b">
        <v>0</v>
      </c>
      <c r="M182" s="86"/>
      <c r="N182" s="9"/>
      <c r="O182" s="9"/>
      <c r="P182" s="9"/>
      <c r="Q182" s="9"/>
      <c r="R182" s="8"/>
      <c r="S182" s="8"/>
      <c r="T182" s="8"/>
      <c r="U182" s="78"/>
      <c r="V182" s="8"/>
    </row>
    <row r="183" spans="1:22">
      <c r="A183" s="21">
        <v>43301</v>
      </c>
      <c r="B183" s="22">
        <v>25.155000000000001</v>
      </c>
      <c r="C183" s="20">
        <v>-2.0825223822499031E-2</v>
      </c>
      <c r="D183" s="55">
        <v>0</v>
      </c>
      <c r="E183" s="55">
        <v>66887.02681669133</v>
      </c>
      <c r="F183" s="55">
        <v>139688.6595588809</v>
      </c>
      <c r="G183" s="55">
        <v>1</v>
      </c>
      <c r="H183" s="55">
        <v>0</v>
      </c>
      <c r="I183" s="55">
        <v>66887.02681669133</v>
      </c>
      <c r="J183" s="55">
        <v>139688.6595588809</v>
      </c>
      <c r="K183" s="55">
        <v>1</v>
      </c>
      <c r="L183" s="57" t="b">
        <v>0</v>
      </c>
      <c r="M183" s="86"/>
      <c r="N183" s="9"/>
      <c r="O183" s="9"/>
      <c r="P183" s="9"/>
      <c r="Q183" s="9"/>
      <c r="R183" s="8"/>
      <c r="S183" s="8"/>
      <c r="T183" s="8"/>
      <c r="U183" s="78"/>
      <c r="V183" s="8"/>
    </row>
    <row r="184" spans="1:22">
      <c r="A184" s="21">
        <v>43304</v>
      </c>
      <c r="B184" s="22">
        <v>25.3</v>
      </c>
      <c r="C184" s="20">
        <v>5.7642615782150493E-3</v>
      </c>
      <c r="D184" s="55">
        <v>1</v>
      </c>
      <c r="E184" s="55">
        <v>66887.02681669133</v>
      </c>
      <c r="F184" s="55">
        <v>139688.6595588809</v>
      </c>
      <c r="G184" s="55">
        <v>0</v>
      </c>
      <c r="H184" s="55">
        <v>0</v>
      </c>
      <c r="I184" s="55">
        <v>66887.02681669133</v>
      </c>
      <c r="J184" s="55">
        <v>139688.6595588809</v>
      </c>
      <c r="K184" s="55">
        <v>-1</v>
      </c>
      <c r="L184" s="57" t="b">
        <v>0</v>
      </c>
      <c r="M184" s="86"/>
      <c r="N184" s="9"/>
      <c r="O184" s="9"/>
      <c r="P184" s="9"/>
      <c r="Q184" s="9"/>
      <c r="R184" s="8"/>
      <c r="S184" s="8"/>
      <c r="T184" s="8"/>
      <c r="U184" s="78"/>
      <c r="V184" s="8"/>
    </row>
    <row r="185" spans="1:22">
      <c r="A185" s="21">
        <v>43305</v>
      </c>
      <c r="B185" s="22">
        <v>26.655000000000001</v>
      </c>
      <c r="C185" s="20">
        <v>5.3557312252964444E-2</v>
      </c>
      <c r="D185" s="55">
        <v>1</v>
      </c>
      <c r="E185" s="55">
        <v>66887.02681669133</v>
      </c>
      <c r="F185" s="55">
        <v>139688.6595588809</v>
      </c>
      <c r="G185" s="55">
        <v>0</v>
      </c>
      <c r="H185" s="55">
        <v>0</v>
      </c>
      <c r="I185" s="55">
        <v>66887.02681669133</v>
      </c>
      <c r="J185" s="55">
        <v>139688.6595588809</v>
      </c>
      <c r="K185" s="55">
        <v>-1</v>
      </c>
      <c r="L185" s="57" t="b">
        <v>0</v>
      </c>
      <c r="M185" s="86"/>
      <c r="N185" s="9"/>
      <c r="O185" s="9"/>
      <c r="P185" s="9"/>
      <c r="Q185" s="9"/>
      <c r="R185" s="8"/>
      <c r="S185" s="8"/>
      <c r="T185" s="8"/>
      <c r="U185" s="78"/>
      <c r="V185" s="8"/>
    </row>
    <row r="186" spans="1:22">
      <c r="A186" s="21">
        <v>43306</v>
      </c>
      <c r="B186" s="22">
        <v>26.2</v>
      </c>
      <c r="C186" s="20">
        <v>-1.7069968111048651E-2</v>
      </c>
      <c r="D186" s="55">
        <v>0</v>
      </c>
      <c r="E186" s="55">
        <v>66887.02681669133</v>
      </c>
      <c r="F186" s="55">
        <v>139688.6595588809</v>
      </c>
      <c r="G186" s="55">
        <v>1</v>
      </c>
      <c r="H186" s="55">
        <v>0</v>
      </c>
      <c r="I186" s="55">
        <v>66887.02681669133</v>
      </c>
      <c r="J186" s="55">
        <v>139688.6595588809</v>
      </c>
      <c r="K186" s="55">
        <v>1</v>
      </c>
      <c r="L186" s="57" t="b">
        <v>0</v>
      </c>
      <c r="M186" s="86"/>
      <c r="N186" s="9"/>
      <c r="O186" s="9"/>
      <c r="P186" s="9"/>
      <c r="Q186" s="9"/>
      <c r="R186" s="8"/>
      <c r="S186" s="8"/>
      <c r="T186" s="8"/>
      <c r="U186" s="78"/>
      <c r="V186" s="8"/>
    </row>
    <row r="187" spans="1:22">
      <c r="A187" s="21">
        <v>43307</v>
      </c>
      <c r="B187" s="22">
        <v>26.495000000000001</v>
      </c>
      <c r="C187" s="20">
        <v>1.125954198473289E-2</v>
      </c>
      <c r="D187" s="55">
        <v>1</v>
      </c>
      <c r="E187" s="55">
        <v>66887.02681669133</v>
      </c>
      <c r="F187" s="55">
        <v>139688.6595588809</v>
      </c>
      <c r="G187" s="55">
        <v>1</v>
      </c>
      <c r="H187" s="55">
        <v>0</v>
      </c>
      <c r="I187" s="55">
        <v>66887.02681669133</v>
      </c>
      <c r="J187" s="55">
        <v>139688.6595588809</v>
      </c>
      <c r="K187" s="55">
        <v>1</v>
      </c>
      <c r="L187" s="55" t="b">
        <v>1</v>
      </c>
      <c r="M187" s="86"/>
      <c r="N187" s="9"/>
      <c r="O187" s="9"/>
      <c r="P187" s="9"/>
      <c r="Q187" s="9"/>
      <c r="R187" s="8"/>
      <c r="S187" s="8"/>
      <c r="T187" s="8"/>
      <c r="U187" s="78"/>
      <c r="V187" s="8"/>
    </row>
    <row r="188" spans="1:22">
      <c r="A188" s="21">
        <v>43308</v>
      </c>
      <c r="B188" s="22">
        <v>26.984999999999999</v>
      </c>
      <c r="C188" s="20">
        <v>1.8494055482166386E-2</v>
      </c>
      <c r="D188" s="55">
        <v>1</v>
      </c>
      <c r="E188" s="55">
        <v>66887.02681669133</v>
      </c>
      <c r="F188" s="55">
        <v>139688.6595588809</v>
      </c>
      <c r="G188" s="55">
        <v>0</v>
      </c>
      <c r="H188" s="55">
        <v>0</v>
      </c>
      <c r="I188" s="55">
        <v>66887.02681669133</v>
      </c>
      <c r="J188" s="55">
        <v>139688.6595588809</v>
      </c>
      <c r="K188" s="55">
        <v>-1</v>
      </c>
      <c r="L188" s="57" t="b">
        <v>0</v>
      </c>
      <c r="M188" s="86"/>
      <c r="N188" s="9"/>
      <c r="O188" s="9"/>
      <c r="P188" s="9"/>
      <c r="Q188" s="9"/>
      <c r="R188" s="8"/>
      <c r="S188" s="8"/>
      <c r="T188" s="8"/>
      <c r="U188" s="78"/>
      <c r="V188" s="8"/>
    </row>
    <row r="189" spans="1:22">
      <c r="A189" s="21">
        <v>43311</v>
      </c>
      <c r="B189" s="22">
        <v>27.11</v>
      </c>
      <c r="C189" s="20">
        <v>4.6322030757828423E-3</v>
      </c>
      <c r="D189" s="55">
        <v>1</v>
      </c>
      <c r="E189" s="55">
        <v>66887.02681669133</v>
      </c>
      <c r="F189" s="55">
        <v>139688.6595588809</v>
      </c>
      <c r="G189" s="55">
        <v>1</v>
      </c>
      <c r="H189" s="55">
        <v>0</v>
      </c>
      <c r="I189" s="55">
        <v>66887.02681669133</v>
      </c>
      <c r="J189" s="55">
        <v>139688.6595588809</v>
      </c>
      <c r="K189" s="55">
        <v>1</v>
      </c>
      <c r="L189" s="55" t="b">
        <v>1</v>
      </c>
      <c r="M189" s="86"/>
      <c r="N189" s="9"/>
      <c r="O189" s="9"/>
      <c r="P189" s="9"/>
      <c r="Q189" s="9"/>
      <c r="R189" s="8"/>
      <c r="S189" s="8"/>
      <c r="T189" s="8"/>
      <c r="U189" s="78"/>
      <c r="V189" s="8"/>
    </row>
    <row r="190" spans="1:22">
      <c r="A190" s="21">
        <v>43312</v>
      </c>
      <c r="B190" s="22">
        <v>27.515000000000001</v>
      </c>
      <c r="C190" s="20">
        <v>1.4939136849870938E-2</v>
      </c>
      <c r="D190" s="55">
        <v>1</v>
      </c>
      <c r="E190" s="55">
        <v>66887.02681669133</v>
      </c>
      <c r="F190" s="55">
        <v>139688.6595588809</v>
      </c>
      <c r="G190" s="55">
        <v>1</v>
      </c>
      <c r="H190" s="55">
        <v>0</v>
      </c>
      <c r="I190" s="55">
        <v>66887.02681669133</v>
      </c>
      <c r="J190" s="55">
        <v>139688.6595588809</v>
      </c>
      <c r="K190" s="55">
        <v>1</v>
      </c>
      <c r="L190" s="55" t="b">
        <v>1</v>
      </c>
      <c r="M190" s="86"/>
      <c r="N190" s="9"/>
      <c r="O190" s="9"/>
      <c r="P190" s="9"/>
      <c r="Q190" s="9"/>
      <c r="R190" s="8"/>
      <c r="S190" s="8"/>
      <c r="T190" s="8"/>
      <c r="U190" s="78"/>
      <c r="V190" s="8"/>
    </row>
    <row r="191" spans="1:22">
      <c r="A191" s="21">
        <v>43313</v>
      </c>
      <c r="B191" s="22">
        <v>28.135000000000002</v>
      </c>
      <c r="C191" s="20">
        <v>2.2533163728875195E-2</v>
      </c>
      <c r="D191" s="55">
        <v>1</v>
      </c>
      <c r="E191" s="55">
        <v>66887.02681669133</v>
      </c>
      <c r="F191" s="55">
        <v>139688.6595588809</v>
      </c>
      <c r="G191" s="55">
        <v>1</v>
      </c>
      <c r="H191" s="55">
        <v>0</v>
      </c>
      <c r="I191" s="55">
        <v>66887.02681669133</v>
      </c>
      <c r="J191" s="55">
        <v>139688.6595588809</v>
      </c>
      <c r="K191" s="55">
        <v>1</v>
      </c>
      <c r="L191" s="55" t="b">
        <v>1</v>
      </c>
      <c r="M191" s="86"/>
      <c r="N191" s="9"/>
      <c r="O191" s="9"/>
      <c r="P191" s="9"/>
      <c r="Q191" s="9"/>
      <c r="R191" s="8"/>
      <c r="S191" s="8"/>
      <c r="T191" s="8"/>
      <c r="U191" s="78"/>
      <c r="V191" s="8"/>
    </row>
    <row r="192" spans="1:22">
      <c r="A192" s="21">
        <v>43314</v>
      </c>
      <c r="B192" s="22">
        <v>27.254999999999999</v>
      </c>
      <c r="C192" s="20">
        <v>-3.1277767904745069E-2</v>
      </c>
      <c r="D192" s="55">
        <v>0</v>
      </c>
      <c r="E192" s="55">
        <v>66887.02681669133</v>
      </c>
      <c r="F192" s="55">
        <v>139688.6595588809</v>
      </c>
      <c r="G192" s="55">
        <v>1</v>
      </c>
      <c r="H192" s="55">
        <v>0</v>
      </c>
      <c r="I192" s="55">
        <v>66887.02681669133</v>
      </c>
      <c r="J192" s="55">
        <v>139688.6595588809</v>
      </c>
      <c r="K192" s="55">
        <v>1</v>
      </c>
      <c r="L192" s="57" t="b">
        <v>0</v>
      </c>
      <c r="M192" s="86"/>
      <c r="N192" s="9"/>
      <c r="O192" s="9"/>
      <c r="P192" s="9"/>
      <c r="Q192" s="9"/>
      <c r="R192" s="8"/>
      <c r="S192" s="8"/>
      <c r="T192" s="8"/>
      <c r="U192" s="78"/>
      <c r="V192" s="8"/>
    </row>
    <row r="193" spans="1:22">
      <c r="A193" s="21">
        <v>43315</v>
      </c>
      <c r="B193" s="22">
        <v>27.74</v>
      </c>
      <c r="C193" s="20">
        <v>1.7794900018345237E-2</v>
      </c>
      <c r="D193" s="55">
        <v>1</v>
      </c>
      <c r="E193" s="55">
        <v>66887.02681669133</v>
      </c>
      <c r="F193" s="55">
        <v>139688.6595588809</v>
      </c>
      <c r="G193" s="55">
        <v>1</v>
      </c>
      <c r="H193" s="55">
        <v>0</v>
      </c>
      <c r="I193" s="55">
        <v>66887.02681669133</v>
      </c>
      <c r="J193" s="55">
        <v>139688.6595588809</v>
      </c>
      <c r="K193" s="55">
        <v>1</v>
      </c>
      <c r="L193" s="55" t="b">
        <v>1</v>
      </c>
      <c r="M193" s="86"/>
      <c r="N193" s="9"/>
      <c r="O193" s="9"/>
      <c r="P193" s="9"/>
      <c r="Q193" s="9"/>
      <c r="R193" s="8"/>
      <c r="S193" s="8"/>
      <c r="T193" s="8"/>
      <c r="U193" s="78"/>
      <c r="V193" s="8"/>
    </row>
    <row r="194" spans="1:22">
      <c r="A194" s="21">
        <v>43318</v>
      </c>
      <c r="B194" s="22">
        <v>27.23</v>
      </c>
      <c r="C194" s="20">
        <v>-1.8385003604902597E-2</v>
      </c>
      <c r="D194" s="55">
        <v>0</v>
      </c>
      <c r="E194" s="55">
        <v>66887.02681669133</v>
      </c>
      <c r="F194" s="55">
        <v>139688.6595588809</v>
      </c>
      <c r="G194" s="55">
        <v>0</v>
      </c>
      <c r="H194" s="55">
        <v>0</v>
      </c>
      <c r="I194" s="55">
        <v>66887.02681669133</v>
      </c>
      <c r="J194" s="55">
        <v>139688.6595588809</v>
      </c>
      <c r="K194" s="55">
        <v>-1</v>
      </c>
      <c r="L194" s="55" t="b">
        <v>1</v>
      </c>
      <c r="M194" s="86"/>
      <c r="N194" s="9"/>
      <c r="O194" s="9"/>
      <c r="P194" s="9"/>
      <c r="Q194" s="9"/>
      <c r="R194" s="8"/>
      <c r="S194" s="8"/>
      <c r="T194" s="8"/>
      <c r="U194" s="78"/>
      <c r="V194" s="8"/>
    </row>
    <row r="195" spans="1:22">
      <c r="A195" s="21">
        <v>43319</v>
      </c>
      <c r="B195" s="22">
        <v>28.02</v>
      </c>
      <c r="C195" s="20">
        <v>2.9012118986412015E-2</v>
      </c>
      <c r="D195" s="55">
        <v>1</v>
      </c>
      <c r="E195" s="55">
        <v>66887.02681669133</v>
      </c>
      <c r="F195" s="55">
        <v>139688.6595588809</v>
      </c>
      <c r="G195" s="55">
        <v>1</v>
      </c>
      <c r="H195" s="55">
        <v>0</v>
      </c>
      <c r="I195" s="55">
        <v>66887.02681669133</v>
      </c>
      <c r="J195" s="55">
        <v>139688.6595588809</v>
      </c>
      <c r="K195" s="55">
        <v>1</v>
      </c>
      <c r="L195" s="55" t="b">
        <v>1</v>
      </c>
      <c r="M195" s="86"/>
      <c r="N195" s="9"/>
      <c r="O195" s="9"/>
      <c r="P195" s="9"/>
      <c r="Q195" s="9"/>
      <c r="R195" s="8"/>
      <c r="S195" s="8"/>
      <c r="T195" s="8"/>
      <c r="U195" s="78"/>
      <c r="V195" s="8"/>
    </row>
    <row r="196" spans="1:22">
      <c r="A196" s="21">
        <v>43320</v>
      </c>
      <c r="B196" s="22">
        <v>27.585000000000001</v>
      </c>
      <c r="C196" s="20">
        <v>-1.5524625267665907E-2</v>
      </c>
      <c r="D196" s="55">
        <v>0</v>
      </c>
      <c r="E196" s="55">
        <v>66887.02681669133</v>
      </c>
      <c r="F196" s="55">
        <v>139688.6595588809</v>
      </c>
      <c r="G196" s="55">
        <v>2.6211194211850505E-273</v>
      </c>
      <c r="H196" s="55">
        <v>-7.2303579233389625E-272</v>
      </c>
      <c r="I196" s="55">
        <v>66887.02681669133</v>
      </c>
      <c r="J196" s="55">
        <v>139688.6595588809</v>
      </c>
      <c r="K196" s="55">
        <v>-1</v>
      </c>
      <c r="L196" s="55" t="b">
        <v>1</v>
      </c>
      <c r="M196" s="86"/>
      <c r="N196" s="9"/>
      <c r="O196" s="9"/>
      <c r="P196" s="9"/>
      <c r="Q196" s="9"/>
      <c r="R196" s="8"/>
      <c r="S196" s="8"/>
      <c r="T196" s="8"/>
      <c r="U196" s="78"/>
      <c r="V196" s="8"/>
    </row>
    <row r="197" spans="1:22">
      <c r="A197" s="21">
        <v>43321</v>
      </c>
      <c r="B197" s="22">
        <v>27.465</v>
      </c>
      <c r="C197" s="20">
        <v>-4.3501903208265722E-3</v>
      </c>
      <c r="D197" s="55">
        <v>0</v>
      </c>
      <c r="E197" s="55">
        <v>66887.02681669133</v>
      </c>
      <c r="F197" s="55">
        <v>139688.6595588809</v>
      </c>
      <c r="G197" s="55">
        <v>1</v>
      </c>
      <c r="H197" s="55">
        <v>0</v>
      </c>
      <c r="I197" s="55">
        <v>66887.02681669133</v>
      </c>
      <c r="J197" s="55">
        <v>139688.6595588809</v>
      </c>
      <c r="K197" s="55">
        <v>1</v>
      </c>
      <c r="L197" s="57" t="b">
        <v>0</v>
      </c>
      <c r="M197" s="86"/>
      <c r="N197" s="9"/>
      <c r="O197" s="9"/>
      <c r="P197" s="9"/>
      <c r="Q197" s="9"/>
      <c r="R197" s="8"/>
      <c r="S197" s="8"/>
      <c r="T197" s="8"/>
      <c r="U197" s="78"/>
      <c r="V197" s="8"/>
    </row>
    <row r="198" spans="1:22">
      <c r="A198" s="21">
        <v>43322</v>
      </c>
      <c r="B198" s="22">
        <v>26.68</v>
      </c>
      <c r="C198" s="20">
        <v>-2.8581831421809582E-2</v>
      </c>
      <c r="D198" s="55">
        <v>0</v>
      </c>
      <c r="E198" s="55">
        <v>66887.02681669133</v>
      </c>
      <c r="F198" s="55">
        <v>139688.6595588809</v>
      </c>
      <c r="G198" s="55">
        <v>0</v>
      </c>
      <c r="H198" s="55">
        <v>0</v>
      </c>
      <c r="I198" s="55">
        <v>66887.02681669133</v>
      </c>
      <c r="J198" s="55">
        <v>139688.6595588809</v>
      </c>
      <c r="K198" s="55">
        <v>-1</v>
      </c>
      <c r="L198" s="55" t="b">
        <v>1</v>
      </c>
      <c r="M198" s="86"/>
      <c r="N198" s="9"/>
      <c r="O198" s="9"/>
      <c r="P198" s="9"/>
      <c r="Q198" s="9"/>
      <c r="R198" s="8"/>
      <c r="S198" s="8"/>
      <c r="T198" s="8"/>
      <c r="U198" s="78"/>
      <c r="V198" s="8"/>
    </row>
    <row r="199" spans="1:22">
      <c r="A199" s="21">
        <v>43325</v>
      </c>
      <c r="B199" s="22">
        <v>26.285</v>
      </c>
      <c r="C199" s="20">
        <v>-1.4805097451274347E-2</v>
      </c>
      <c r="D199" s="55">
        <v>0</v>
      </c>
      <c r="E199" s="55">
        <v>66887.02681669133</v>
      </c>
      <c r="F199" s="55">
        <v>139688.6595588809</v>
      </c>
      <c r="G199" s="55">
        <v>0</v>
      </c>
      <c r="H199" s="55">
        <v>0</v>
      </c>
      <c r="I199" s="55">
        <v>66887.02681669133</v>
      </c>
      <c r="J199" s="55">
        <v>139688.6595588809</v>
      </c>
      <c r="K199" s="55">
        <v>-1</v>
      </c>
      <c r="L199" s="55" t="b">
        <v>1</v>
      </c>
      <c r="M199" s="86"/>
      <c r="N199" s="9"/>
      <c r="O199" s="9"/>
      <c r="P199" s="9"/>
      <c r="Q199" s="9"/>
      <c r="R199" s="8"/>
      <c r="S199" s="8"/>
      <c r="T199" s="8"/>
      <c r="U199" s="78"/>
      <c r="V199" s="8"/>
    </row>
    <row r="200" spans="1:22">
      <c r="A200" s="21">
        <v>43326</v>
      </c>
      <c r="B200" s="22">
        <v>26.15</v>
      </c>
      <c r="C200" s="20">
        <v>-5.1360091306829588E-3</v>
      </c>
      <c r="D200" s="55">
        <v>0</v>
      </c>
      <c r="E200" s="55">
        <v>66887.02681669133</v>
      </c>
      <c r="F200" s="55">
        <v>139688.6595588809</v>
      </c>
      <c r="G200" s="55">
        <v>0</v>
      </c>
      <c r="H200" s="55">
        <v>0</v>
      </c>
      <c r="I200" s="55">
        <v>66887.02681669133</v>
      </c>
      <c r="J200" s="55">
        <v>139688.6595588809</v>
      </c>
      <c r="K200" s="55">
        <v>-1</v>
      </c>
      <c r="L200" s="55" t="b">
        <v>1</v>
      </c>
      <c r="M200" s="86"/>
      <c r="N200" s="9"/>
      <c r="O200" s="9"/>
      <c r="P200" s="9"/>
      <c r="Q200" s="9"/>
      <c r="R200" s="8"/>
      <c r="S200" s="8"/>
      <c r="T200" s="8"/>
      <c r="U200" s="78"/>
      <c r="V200" s="8"/>
    </row>
    <row r="201" spans="1:22">
      <c r="A201" s="21">
        <v>43327</v>
      </c>
      <c r="B201" s="22">
        <v>24.905000000000001</v>
      </c>
      <c r="C201" s="20">
        <v>-4.7609942638623233E-2</v>
      </c>
      <c r="D201" s="55">
        <v>0</v>
      </c>
      <c r="E201" s="55">
        <v>66887.02681669133</v>
      </c>
      <c r="F201" s="55">
        <v>139688.6595588809</v>
      </c>
      <c r="G201" s="55">
        <v>0</v>
      </c>
      <c r="H201" s="55">
        <v>0</v>
      </c>
      <c r="I201" s="55">
        <v>66887.02681669133</v>
      </c>
      <c r="J201" s="55">
        <v>139688.6595588809</v>
      </c>
      <c r="K201" s="55">
        <v>-1</v>
      </c>
      <c r="L201" s="55" t="b">
        <v>1</v>
      </c>
      <c r="M201" s="86"/>
      <c r="N201" s="9"/>
      <c r="O201" s="9"/>
      <c r="P201" s="9"/>
      <c r="Q201" s="9"/>
      <c r="R201" s="8"/>
      <c r="S201" s="8"/>
      <c r="T201" s="8"/>
      <c r="U201" s="78"/>
      <c r="V201" s="8"/>
    </row>
    <row r="202" spans="1:22">
      <c r="A202" s="21">
        <v>43328</v>
      </c>
      <c r="B202" s="22">
        <v>25.184999999999999</v>
      </c>
      <c r="C202" s="20">
        <v>1.1242722344910564E-2</v>
      </c>
      <c r="D202" s="55">
        <v>1</v>
      </c>
      <c r="E202" s="55">
        <v>66887.02681669133</v>
      </c>
      <c r="F202" s="55">
        <v>139688.6595588809</v>
      </c>
      <c r="G202" s="55">
        <v>0</v>
      </c>
      <c r="H202" s="55">
        <v>0</v>
      </c>
      <c r="I202" s="55">
        <v>66887.02681669133</v>
      </c>
      <c r="J202" s="55">
        <v>139688.6595588809</v>
      </c>
      <c r="K202" s="55">
        <v>-1</v>
      </c>
      <c r="L202" s="57" t="b">
        <v>0</v>
      </c>
      <c r="M202" s="86"/>
      <c r="N202" s="9"/>
      <c r="O202" s="9"/>
      <c r="P202" s="9"/>
      <c r="Q202" s="9"/>
      <c r="R202" s="8"/>
      <c r="S202" s="8"/>
      <c r="T202" s="8"/>
      <c r="U202" s="78"/>
      <c r="V202" s="8"/>
    </row>
    <row r="203" spans="1:22">
      <c r="A203" s="21">
        <v>43329</v>
      </c>
      <c r="B203" s="22">
        <v>25.004999999999999</v>
      </c>
      <c r="C203" s="20">
        <v>-7.1471113758189292E-3</v>
      </c>
      <c r="D203" s="55">
        <v>0</v>
      </c>
      <c r="E203" s="55">
        <v>66887.02681669133</v>
      </c>
      <c r="F203" s="55">
        <v>139688.6595588809</v>
      </c>
      <c r="G203" s="55">
        <v>0</v>
      </c>
      <c r="H203" s="55">
        <v>0</v>
      </c>
      <c r="I203" s="55">
        <v>66887.02681669133</v>
      </c>
      <c r="J203" s="55">
        <v>139688.6595588809</v>
      </c>
      <c r="K203" s="55">
        <v>-1</v>
      </c>
      <c r="L203" s="55" t="b">
        <v>1</v>
      </c>
      <c r="M203" s="86"/>
      <c r="N203" s="9"/>
      <c r="O203" s="9"/>
      <c r="P203" s="9"/>
      <c r="Q203" s="9"/>
      <c r="R203" s="8"/>
      <c r="S203" s="8"/>
      <c r="T203" s="8"/>
      <c r="U203" s="78"/>
      <c r="V203" s="8"/>
    </row>
    <row r="204" spans="1:22">
      <c r="A204" s="21">
        <v>43332</v>
      </c>
      <c r="B204" s="22">
        <v>25.635000000000002</v>
      </c>
      <c r="C204" s="20">
        <v>2.5194961007798545E-2</v>
      </c>
      <c r="D204" s="55">
        <v>1</v>
      </c>
      <c r="E204" s="55">
        <v>66887.02681669133</v>
      </c>
      <c r="F204" s="55">
        <v>139688.6595588809</v>
      </c>
      <c r="G204" s="55">
        <v>1</v>
      </c>
      <c r="H204" s="55">
        <v>0</v>
      </c>
      <c r="I204" s="55">
        <v>66887.02681669133</v>
      </c>
      <c r="J204" s="55">
        <v>139688.6595588809</v>
      </c>
      <c r="K204" s="55">
        <v>1</v>
      </c>
      <c r="L204" s="55" t="b">
        <v>1</v>
      </c>
      <c r="M204" s="86"/>
      <c r="N204" s="9"/>
      <c r="O204" s="9"/>
      <c r="P204" s="9"/>
      <c r="Q204" s="9"/>
      <c r="R204" s="8"/>
      <c r="S204" s="8"/>
      <c r="T204" s="8"/>
      <c r="U204" s="78"/>
      <c r="V204" s="8"/>
    </row>
    <row r="205" spans="1:22">
      <c r="A205" s="21">
        <v>43333</v>
      </c>
      <c r="B205" s="22">
        <v>25.94</v>
      </c>
      <c r="C205" s="20">
        <v>1.1897795982055771E-2</v>
      </c>
      <c r="D205" s="55">
        <v>1</v>
      </c>
      <c r="E205" s="55">
        <v>66887.02681669133</v>
      </c>
      <c r="F205" s="55">
        <v>139688.6595588809</v>
      </c>
      <c r="G205" s="55">
        <v>1</v>
      </c>
      <c r="H205" s="55">
        <v>0</v>
      </c>
      <c r="I205" s="55">
        <v>66887.02681669133</v>
      </c>
      <c r="J205" s="55">
        <v>139688.6595588809</v>
      </c>
      <c r="K205" s="55">
        <v>1</v>
      </c>
      <c r="L205" s="55" t="b">
        <v>1</v>
      </c>
      <c r="M205" s="86"/>
      <c r="N205" s="9"/>
      <c r="O205" s="9"/>
      <c r="P205" s="9"/>
      <c r="Q205" s="9"/>
      <c r="R205" s="8"/>
      <c r="S205" s="8"/>
      <c r="T205" s="8"/>
      <c r="U205" s="78"/>
      <c r="V205" s="8"/>
    </row>
    <row r="206" spans="1:22">
      <c r="A206" s="21">
        <v>43334</v>
      </c>
      <c r="B206" s="22">
        <v>25.96</v>
      </c>
      <c r="C206" s="20">
        <v>7.7101002313028418E-4</v>
      </c>
      <c r="D206" s="55">
        <v>1</v>
      </c>
      <c r="E206" s="55">
        <v>66887.02681669133</v>
      </c>
      <c r="F206" s="55">
        <v>139688.6595588809</v>
      </c>
      <c r="G206" s="55">
        <v>1</v>
      </c>
      <c r="H206" s="55">
        <v>0</v>
      </c>
      <c r="I206" s="55">
        <v>66887.02681669133</v>
      </c>
      <c r="J206" s="55">
        <v>139688.6595588809</v>
      </c>
      <c r="K206" s="55">
        <v>1</v>
      </c>
      <c r="L206" s="55" t="b">
        <v>1</v>
      </c>
      <c r="M206" s="86"/>
      <c r="N206" s="9"/>
      <c r="O206" s="9"/>
      <c r="P206" s="9"/>
      <c r="Q206" s="9"/>
      <c r="R206" s="8"/>
      <c r="S206" s="8"/>
      <c r="T206" s="8"/>
      <c r="U206" s="78"/>
      <c r="V206" s="8"/>
    </row>
    <row r="207" spans="1:22">
      <c r="A207" s="21">
        <v>43335</v>
      </c>
      <c r="B207" s="22">
        <v>25.574999999999999</v>
      </c>
      <c r="C207" s="20">
        <v>-1.4830508474576331E-2</v>
      </c>
      <c r="D207" s="55">
        <v>0</v>
      </c>
      <c r="E207" s="55">
        <v>66887.02681669133</v>
      </c>
      <c r="F207" s="55">
        <v>139688.6595588809</v>
      </c>
      <c r="G207" s="55">
        <v>1</v>
      </c>
      <c r="H207" s="55">
        <v>0</v>
      </c>
      <c r="I207" s="55">
        <v>66887.02681669133</v>
      </c>
      <c r="J207" s="55">
        <v>139688.6595588809</v>
      </c>
      <c r="K207" s="55">
        <v>1</v>
      </c>
      <c r="L207" s="57" t="b">
        <v>0</v>
      </c>
      <c r="M207" s="86"/>
      <c r="N207" s="9"/>
      <c r="O207" s="9"/>
      <c r="P207" s="9"/>
      <c r="Q207" s="9"/>
      <c r="R207" s="8"/>
      <c r="S207" s="8"/>
      <c r="T207" s="8"/>
      <c r="U207" s="78"/>
      <c r="V207" s="8"/>
    </row>
    <row r="208" spans="1:22">
      <c r="A208" s="21">
        <v>43336</v>
      </c>
      <c r="B208" s="22">
        <v>26.184999999999999</v>
      </c>
      <c r="C208" s="20">
        <v>2.3851417399804474E-2</v>
      </c>
      <c r="D208" s="55">
        <v>1</v>
      </c>
      <c r="E208" s="55">
        <v>66887.02681669133</v>
      </c>
      <c r="F208" s="55">
        <v>139688.6595588809</v>
      </c>
      <c r="G208" s="55">
        <v>0</v>
      </c>
      <c r="H208" s="55">
        <v>0</v>
      </c>
      <c r="I208" s="55">
        <v>66887.02681669133</v>
      </c>
      <c r="J208" s="55">
        <v>139688.6595588809</v>
      </c>
      <c r="K208" s="55">
        <v>-1</v>
      </c>
      <c r="L208" s="57" t="b">
        <v>0</v>
      </c>
      <c r="M208" s="86"/>
      <c r="N208" s="9"/>
      <c r="O208" s="9"/>
      <c r="P208" s="9"/>
      <c r="Q208" s="9"/>
      <c r="R208" s="8"/>
      <c r="S208" s="8"/>
      <c r="T208" s="8"/>
      <c r="U208" s="78"/>
      <c r="V208" s="8"/>
    </row>
    <row r="209" spans="1:22">
      <c r="A209" s="21">
        <v>43339</v>
      </c>
      <c r="B209" s="22">
        <v>26.3</v>
      </c>
      <c r="C209" s="20">
        <v>4.3918273820890584E-3</v>
      </c>
      <c r="D209" s="55">
        <v>1</v>
      </c>
      <c r="E209" s="55">
        <v>66887.02681669133</v>
      </c>
      <c r="F209" s="55">
        <v>139688.6595588809</v>
      </c>
      <c r="G209" s="55">
        <v>1.3932791874007704E-207</v>
      </c>
      <c r="H209" s="55">
        <v>-3.6643242628640261E-206</v>
      </c>
      <c r="I209" s="55">
        <v>66887.02681669133</v>
      </c>
      <c r="J209" s="55">
        <v>139688.6595588809</v>
      </c>
      <c r="K209" s="55">
        <v>-1</v>
      </c>
      <c r="L209" s="57" t="b">
        <v>0</v>
      </c>
      <c r="M209" s="86"/>
      <c r="N209" s="9"/>
      <c r="O209" s="9"/>
      <c r="P209" s="9"/>
      <c r="Q209" s="9"/>
      <c r="R209" s="8"/>
      <c r="S209" s="8"/>
      <c r="T209" s="8"/>
      <c r="U209" s="78"/>
      <c r="V209" s="8"/>
    </row>
    <row r="210" spans="1:22">
      <c r="A210" s="21">
        <v>43340</v>
      </c>
      <c r="B210" s="22">
        <v>26.524999999999999</v>
      </c>
      <c r="C210" s="20">
        <v>8.5551330798478275E-3</v>
      </c>
      <c r="D210" s="55">
        <v>1</v>
      </c>
      <c r="E210" s="55">
        <v>66887.02681669133</v>
      </c>
      <c r="F210" s="55">
        <v>139688.6595588809</v>
      </c>
      <c r="G210" s="55">
        <v>1</v>
      </c>
      <c r="H210" s="55">
        <v>0</v>
      </c>
      <c r="I210" s="55">
        <v>66887.02681669133</v>
      </c>
      <c r="J210" s="55">
        <v>139688.6595588809</v>
      </c>
      <c r="K210" s="55">
        <v>1</v>
      </c>
      <c r="L210" s="55" t="b">
        <v>1</v>
      </c>
      <c r="M210" s="86"/>
      <c r="N210" s="9"/>
      <c r="O210" s="9"/>
      <c r="P210" s="9"/>
      <c r="Q210" s="9"/>
      <c r="R210" s="8"/>
      <c r="S210" s="8"/>
      <c r="T210" s="8"/>
      <c r="U210" s="78"/>
      <c r="V210" s="8"/>
    </row>
    <row r="211" spans="1:22">
      <c r="A211" s="21">
        <v>43341</v>
      </c>
      <c r="B211" s="22">
        <v>26.555</v>
      </c>
      <c r="C211" s="20">
        <v>1.1310084825636622E-3</v>
      </c>
      <c r="D211" s="55">
        <v>1</v>
      </c>
      <c r="E211" s="55">
        <v>66887.02681669133</v>
      </c>
      <c r="F211" s="55">
        <v>139688.6595588809</v>
      </c>
      <c r="G211" s="55">
        <v>1</v>
      </c>
      <c r="H211" s="55">
        <v>0</v>
      </c>
      <c r="I211" s="55">
        <v>66887.02681669133</v>
      </c>
      <c r="J211" s="55">
        <v>139688.6595588809</v>
      </c>
      <c r="K211" s="55">
        <v>1</v>
      </c>
      <c r="L211" s="55" t="b">
        <v>1</v>
      </c>
      <c r="M211" s="86"/>
      <c r="N211" s="9"/>
      <c r="O211" s="9"/>
      <c r="P211" s="9"/>
      <c r="Q211" s="9"/>
      <c r="R211" s="8"/>
      <c r="S211" s="8"/>
      <c r="T211" s="8"/>
      <c r="U211" s="78"/>
      <c r="V211" s="8"/>
    </row>
    <row r="212" spans="1:22">
      <c r="A212" s="21">
        <v>43342</v>
      </c>
      <c r="B212" s="22">
        <v>26.204999999999998</v>
      </c>
      <c r="C212" s="20">
        <v>-1.318019205422713E-2</v>
      </c>
      <c r="D212" s="55">
        <v>0</v>
      </c>
      <c r="E212" s="55">
        <v>66887.02681669133</v>
      </c>
      <c r="F212" s="55">
        <v>139688.6595588809</v>
      </c>
      <c r="G212" s="55">
        <v>1</v>
      </c>
      <c r="H212" s="55">
        <v>0</v>
      </c>
      <c r="I212" s="55">
        <v>66887.02681669133</v>
      </c>
      <c r="J212" s="55">
        <v>139688.6595588809</v>
      </c>
      <c r="K212" s="55">
        <v>1</v>
      </c>
      <c r="L212" s="57" t="b">
        <v>0</v>
      </c>
      <c r="M212" s="86"/>
      <c r="N212" s="9"/>
      <c r="O212" s="9"/>
      <c r="P212" s="9"/>
      <c r="Q212" s="9"/>
      <c r="R212" s="8"/>
      <c r="S212" s="8"/>
      <c r="T212" s="8"/>
      <c r="U212" s="78"/>
      <c r="V212" s="8"/>
    </row>
    <row r="213" spans="1:22">
      <c r="A213" s="21">
        <v>43343</v>
      </c>
      <c r="B213" s="22">
        <v>25.94</v>
      </c>
      <c r="C213" s="20">
        <v>-1.0112573936271591E-2</v>
      </c>
      <c r="D213" s="55">
        <v>0</v>
      </c>
      <c r="E213" s="55">
        <v>66887.02681669133</v>
      </c>
      <c r="F213" s="55">
        <v>139688.6595588809</v>
      </c>
      <c r="G213" s="55">
        <v>0</v>
      </c>
      <c r="H213" s="55">
        <v>0</v>
      </c>
      <c r="I213" s="55">
        <v>66887.02681669133</v>
      </c>
      <c r="J213" s="55">
        <v>139688.6595588809</v>
      </c>
      <c r="K213" s="55">
        <v>-1</v>
      </c>
      <c r="L213" s="55" t="b">
        <v>1</v>
      </c>
      <c r="M213" s="86"/>
      <c r="N213" s="9"/>
      <c r="O213" s="9"/>
      <c r="P213" s="9"/>
      <c r="Q213" s="9"/>
      <c r="R213" s="8"/>
      <c r="S213" s="8"/>
      <c r="T213" s="8"/>
      <c r="U213" s="78"/>
      <c r="V213" s="8"/>
    </row>
    <row r="214" spans="1:22">
      <c r="A214" s="21">
        <v>43346</v>
      </c>
      <c r="B214" s="22">
        <v>25.93</v>
      </c>
      <c r="C214" s="20">
        <v>-3.8550501156521061E-4</v>
      </c>
      <c r="D214" s="55">
        <v>0</v>
      </c>
      <c r="E214" s="55">
        <v>66887.02681669133</v>
      </c>
      <c r="F214" s="55">
        <v>139688.6595588809</v>
      </c>
      <c r="G214" s="55">
        <v>0</v>
      </c>
      <c r="H214" s="55">
        <v>0</v>
      </c>
      <c r="I214" s="55">
        <v>66887.02681669133</v>
      </c>
      <c r="J214" s="55">
        <v>139688.6595588809</v>
      </c>
      <c r="K214" s="55">
        <v>-1</v>
      </c>
      <c r="L214" s="55" t="b">
        <v>1</v>
      </c>
      <c r="M214" s="86"/>
      <c r="N214" s="9"/>
      <c r="O214" s="9"/>
      <c r="P214" s="9"/>
      <c r="Q214" s="9"/>
      <c r="R214" s="8"/>
      <c r="S214" s="8"/>
      <c r="T214" s="8"/>
      <c r="U214" s="78"/>
      <c r="V214" s="8"/>
    </row>
    <row r="215" spans="1:22">
      <c r="A215" s="21">
        <v>43347</v>
      </c>
      <c r="B215" s="22">
        <v>25.344999999999999</v>
      </c>
      <c r="C215" s="20">
        <v>-2.2560740455071379E-2</v>
      </c>
      <c r="D215" s="55">
        <v>0</v>
      </c>
      <c r="E215" s="55">
        <v>66887.02681669133</v>
      </c>
      <c r="F215" s="55">
        <v>139688.6595588809</v>
      </c>
      <c r="G215" s="55">
        <v>0</v>
      </c>
      <c r="H215" s="55">
        <v>0</v>
      </c>
      <c r="I215" s="55">
        <v>66887.02681669133</v>
      </c>
      <c r="J215" s="55">
        <v>139688.6595588809</v>
      </c>
      <c r="K215" s="55">
        <v>-1</v>
      </c>
      <c r="L215" s="55" t="b">
        <v>1</v>
      </c>
      <c r="M215" s="86"/>
      <c r="N215" s="9"/>
      <c r="O215" s="9"/>
      <c r="P215" s="9"/>
      <c r="Q215" s="9"/>
      <c r="R215" s="8"/>
      <c r="S215" s="8"/>
      <c r="T215" s="8"/>
      <c r="U215" s="78"/>
      <c r="V215" s="8"/>
    </row>
    <row r="216" spans="1:22">
      <c r="A216" s="21">
        <v>43348</v>
      </c>
      <c r="B216" s="22">
        <v>24.84</v>
      </c>
      <c r="C216" s="20">
        <v>-1.9925034523574633E-2</v>
      </c>
      <c r="D216" s="55">
        <v>0</v>
      </c>
      <c r="E216" s="55">
        <v>66887.02681669133</v>
      </c>
      <c r="F216" s="55">
        <v>139688.6595588809</v>
      </c>
      <c r="G216" s="55">
        <v>0</v>
      </c>
      <c r="H216" s="55">
        <v>0</v>
      </c>
      <c r="I216" s="55">
        <v>66887.02681669133</v>
      </c>
      <c r="J216" s="55">
        <v>139688.6595588809</v>
      </c>
      <c r="K216" s="55">
        <v>-1</v>
      </c>
      <c r="L216" s="55" t="b">
        <v>1</v>
      </c>
      <c r="M216" s="86"/>
      <c r="N216" s="9"/>
      <c r="O216" s="9"/>
      <c r="P216" s="9"/>
      <c r="Q216" s="9"/>
      <c r="R216" s="8"/>
      <c r="S216" s="8"/>
      <c r="T216" s="8"/>
      <c r="U216" s="78"/>
      <c r="V216" s="8"/>
    </row>
    <row r="217" spans="1:22">
      <c r="A217" s="21">
        <v>43349</v>
      </c>
      <c r="B217" s="22">
        <v>24.715</v>
      </c>
      <c r="C217" s="20">
        <v>-5.0322061191626407E-3</v>
      </c>
      <c r="D217" s="55">
        <v>0</v>
      </c>
      <c r="E217" s="55">
        <v>66887.02681669133</v>
      </c>
      <c r="F217" s="55">
        <v>139688.6595588809</v>
      </c>
      <c r="G217" s="55">
        <v>0</v>
      </c>
      <c r="H217" s="55">
        <v>0</v>
      </c>
      <c r="I217" s="55">
        <v>66887.02681669133</v>
      </c>
      <c r="J217" s="55">
        <v>139688.6595588809</v>
      </c>
      <c r="K217" s="55">
        <v>-1</v>
      </c>
      <c r="L217" s="55" t="b">
        <v>1</v>
      </c>
      <c r="M217" s="86"/>
      <c r="N217" s="9"/>
      <c r="O217" s="9"/>
      <c r="P217" s="9"/>
      <c r="Q217" s="9"/>
      <c r="R217" s="8"/>
      <c r="S217" s="8"/>
      <c r="T217" s="8"/>
      <c r="U217" s="78"/>
      <c r="V217" s="8"/>
    </row>
    <row r="218" spans="1:22">
      <c r="A218" s="21">
        <v>43350</v>
      </c>
      <c r="B218" s="22">
        <v>24.86</v>
      </c>
      <c r="C218" s="20">
        <v>5.8668824600444898E-3</v>
      </c>
      <c r="D218" s="55">
        <v>1</v>
      </c>
      <c r="E218" s="55">
        <v>66887.02681669133</v>
      </c>
      <c r="F218" s="55">
        <v>139688.6595588809</v>
      </c>
      <c r="G218" s="55">
        <v>0</v>
      </c>
      <c r="H218" s="55">
        <v>0</v>
      </c>
      <c r="I218" s="55">
        <v>66887.02681669133</v>
      </c>
      <c r="J218" s="55">
        <v>139688.6595588809</v>
      </c>
      <c r="K218" s="55">
        <v>-1</v>
      </c>
      <c r="L218" s="57" t="b">
        <v>0</v>
      </c>
      <c r="M218" s="86"/>
      <c r="N218" s="9"/>
      <c r="O218" s="9"/>
      <c r="P218" s="9"/>
      <c r="Q218" s="9"/>
      <c r="R218" s="8"/>
      <c r="S218" s="8"/>
      <c r="T218" s="8"/>
      <c r="U218" s="78"/>
      <c r="V218" s="8"/>
    </row>
    <row r="219" spans="1:22">
      <c r="A219" s="21">
        <v>43353</v>
      </c>
      <c r="B219" s="22">
        <v>25.02</v>
      </c>
      <c r="C219" s="20">
        <v>6.4360418342719284E-3</v>
      </c>
      <c r="D219" s="55">
        <v>1</v>
      </c>
      <c r="E219" s="55">
        <v>66887.02681669133</v>
      </c>
      <c r="F219" s="55">
        <v>139688.6595588809</v>
      </c>
      <c r="G219" s="55">
        <v>1.3842861335766255E-135</v>
      </c>
      <c r="H219" s="55">
        <v>-3.463483906208717E-134</v>
      </c>
      <c r="I219" s="55">
        <v>66887.02681669133</v>
      </c>
      <c r="J219" s="55">
        <v>139688.6595588809</v>
      </c>
      <c r="K219" s="55">
        <v>-1</v>
      </c>
      <c r="L219" s="57" t="b">
        <v>0</v>
      </c>
      <c r="M219" s="86"/>
      <c r="N219" s="9"/>
      <c r="O219" s="9"/>
      <c r="P219" s="9"/>
      <c r="Q219" s="9"/>
      <c r="R219" s="8"/>
      <c r="S219" s="8"/>
      <c r="T219" s="8"/>
      <c r="U219" s="78"/>
      <c r="V219" s="8"/>
    </row>
    <row r="220" spans="1:22">
      <c r="A220" s="21">
        <v>43354</v>
      </c>
      <c r="B220" s="22">
        <v>24.524999999999999</v>
      </c>
      <c r="C220" s="20">
        <v>-1.9784172661870544E-2</v>
      </c>
      <c r="D220" s="55">
        <v>0</v>
      </c>
      <c r="E220" s="55">
        <v>66887.02681669133</v>
      </c>
      <c r="F220" s="55">
        <v>139688.6595588809</v>
      </c>
      <c r="G220" s="55">
        <v>1</v>
      </c>
      <c r="H220" s="55">
        <v>0</v>
      </c>
      <c r="I220" s="55">
        <v>66887.02681669133</v>
      </c>
      <c r="J220" s="55">
        <v>139688.6595588809</v>
      </c>
      <c r="K220" s="55">
        <v>1</v>
      </c>
      <c r="L220" s="57" t="b">
        <v>0</v>
      </c>
      <c r="M220" s="86"/>
      <c r="N220" s="9"/>
      <c r="O220" s="9"/>
      <c r="P220" s="9"/>
      <c r="Q220" s="9"/>
      <c r="R220" s="8"/>
      <c r="S220" s="8"/>
      <c r="T220" s="8"/>
      <c r="U220" s="78"/>
      <c r="V220" s="8"/>
    </row>
    <row r="221" spans="1:22">
      <c r="A221" s="21">
        <v>43355</v>
      </c>
      <c r="B221" s="22">
        <v>25.17</v>
      </c>
      <c r="C221" s="20">
        <v>2.6299694189602575E-2</v>
      </c>
      <c r="D221" s="55">
        <v>1</v>
      </c>
      <c r="E221" s="55">
        <v>66887.02681669133</v>
      </c>
      <c r="F221" s="55">
        <v>139688.6595588809</v>
      </c>
      <c r="G221" s="55">
        <v>5.5611866827516139E-185</v>
      </c>
      <c r="H221" s="55">
        <v>-1.3997506880485813E-183</v>
      </c>
      <c r="I221" s="55">
        <v>66887.02681669133</v>
      </c>
      <c r="J221" s="55">
        <v>139688.6595588809</v>
      </c>
      <c r="K221" s="55">
        <v>-1</v>
      </c>
      <c r="L221" s="57" t="b">
        <v>0</v>
      </c>
      <c r="M221" s="86"/>
      <c r="N221" s="9"/>
      <c r="O221" s="9"/>
      <c r="P221" s="9"/>
      <c r="Q221" s="9"/>
      <c r="R221" s="8"/>
      <c r="S221" s="8"/>
      <c r="T221" s="8"/>
      <c r="U221" s="78"/>
      <c r="V221" s="8"/>
    </row>
    <row r="222" spans="1:22">
      <c r="A222" s="21">
        <v>43356</v>
      </c>
      <c r="B222" s="22">
        <v>24.734999999999999</v>
      </c>
      <c r="C222" s="20">
        <v>-1.7282479141835609E-2</v>
      </c>
      <c r="D222" s="55">
        <v>0</v>
      </c>
      <c r="E222" s="55">
        <v>66887.02681669133</v>
      </c>
      <c r="F222" s="55">
        <v>139688.6595588809</v>
      </c>
      <c r="G222" s="55">
        <v>0</v>
      </c>
      <c r="H222" s="55">
        <v>0</v>
      </c>
      <c r="I222" s="55">
        <v>66887.02681669133</v>
      </c>
      <c r="J222" s="55">
        <v>139688.6595588809</v>
      </c>
      <c r="K222" s="55">
        <v>-1</v>
      </c>
      <c r="L222" s="55" t="b">
        <v>1</v>
      </c>
      <c r="M222" s="86"/>
      <c r="N222" s="9"/>
      <c r="O222" s="9"/>
      <c r="P222" s="9"/>
      <c r="Q222" s="9"/>
      <c r="R222" s="8"/>
      <c r="S222" s="8"/>
      <c r="T222" s="8"/>
      <c r="U222" s="78"/>
      <c r="V222" s="8"/>
    </row>
    <row r="223" spans="1:22">
      <c r="A223" s="21">
        <v>43357</v>
      </c>
      <c r="B223" s="22">
        <v>25.12</v>
      </c>
      <c r="C223" s="20">
        <v>1.5564988882150863E-2</v>
      </c>
      <c r="D223" s="55">
        <v>1</v>
      </c>
      <c r="E223" s="55">
        <v>66887.02681669133</v>
      </c>
      <c r="F223" s="55">
        <v>139688.6595588809</v>
      </c>
      <c r="G223" s="55">
        <v>1</v>
      </c>
      <c r="H223" s="55">
        <v>0</v>
      </c>
      <c r="I223" s="55">
        <v>66887.02681669133</v>
      </c>
      <c r="J223" s="55">
        <v>139688.6595588809</v>
      </c>
      <c r="K223" s="55">
        <v>1</v>
      </c>
      <c r="L223" s="55" t="b">
        <v>1</v>
      </c>
      <c r="M223" s="86"/>
      <c r="N223" s="9"/>
      <c r="O223" s="9"/>
      <c r="P223" s="9"/>
      <c r="Q223" s="9"/>
      <c r="R223" s="8"/>
      <c r="S223" s="8"/>
      <c r="T223" s="8"/>
      <c r="U223" s="78"/>
      <c r="V223" s="8"/>
    </row>
    <row r="224" spans="1:22">
      <c r="A224" s="21">
        <v>43360</v>
      </c>
      <c r="B224" s="22">
        <v>25.63</v>
      </c>
      <c r="C224" s="20">
        <v>2.0302547770700556E-2</v>
      </c>
      <c r="D224" s="55">
        <v>1</v>
      </c>
      <c r="E224" s="55">
        <v>66887.02681669133</v>
      </c>
      <c r="F224" s="55">
        <v>139688.6595588809</v>
      </c>
      <c r="G224" s="55">
        <v>0</v>
      </c>
      <c r="H224" s="55">
        <v>0</v>
      </c>
      <c r="I224" s="55">
        <v>66887.02681669133</v>
      </c>
      <c r="J224" s="55">
        <v>139688.6595588809</v>
      </c>
      <c r="K224" s="55">
        <v>-1</v>
      </c>
      <c r="L224" s="57" t="b">
        <v>0</v>
      </c>
      <c r="M224" s="86"/>
      <c r="N224" s="9"/>
      <c r="O224" s="9"/>
      <c r="P224" s="9"/>
      <c r="Q224" s="9"/>
      <c r="R224" s="8"/>
      <c r="S224" s="8"/>
      <c r="T224" s="8"/>
      <c r="U224" s="78"/>
      <c r="V224" s="8"/>
    </row>
    <row r="225" spans="1:22">
      <c r="A225" s="21">
        <v>43361</v>
      </c>
      <c r="B225" s="22">
        <v>25.93</v>
      </c>
      <c r="C225" s="20">
        <v>1.1705033164260661E-2</v>
      </c>
      <c r="D225" s="55">
        <v>1</v>
      </c>
      <c r="E225" s="55">
        <v>66887.02681669133</v>
      </c>
      <c r="F225" s="55">
        <v>139688.6595588809</v>
      </c>
      <c r="G225" s="55">
        <v>1</v>
      </c>
      <c r="H225" s="55">
        <v>0</v>
      </c>
      <c r="I225" s="55">
        <v>66887.02681669133</v>
      </c>
      <c r="J225" s="55">
        <v>139688.6595588809</v>
      </c>
      <c r="K225" s="55">
        <v>1</v>
      </c>
      <c r="L225" s="55" t="b">
        <v>1</v>
      </c>
      <c r="M225" s="86"/>
      <c r="N225" s="9"/>
      <c r="O225" s="9"/>
      <c r="P225" s="9"/>
      <c r="Q225" s="9"/>
      <c r="R225" s="8"/>
      <c r="S225" s="8"/>
      <c r="T225" s="8"/>
      <c r="U225" s="78"/>
      <c r="V225" s="8"/>
    </row>
    <row r="226" spans="1:22">
      <c r="A226" s="21">
        <v>43362</v>
      </c>
      <c r="B226" s="22">
        <v>26.95</v>
      </c>
      <c r="C226" s="20">
        <v>3.9336675665252584E-2</v>
      </c>
      <c r="D226" s="55">
        <v>1</v>
      </c>
      <c r="E226" s="55">
        <v>66887.02681669133</v>
      </c>
      <c r="F226" s="55">
        <v>139688.6595588809</v>
      </c>
      <c r="G226" s="55">
        <v>1</v>
      </c>
      <c r="H226" s="55">
        <v>0</v>
      </c>
      <c r="I226" s="55">
        <v>66887.02681669133</v>
      </c>
      <c r="J226" s="55">
        <v>139688.6595588809</v>
      </c>
      <c r="K226" s="55">
        <v>1</v>
      </c>
      <c r="L226" s="55" t="b">
        <v>1</v>
      </c>
      <c r="M226" s="86"/>
      <c r="N226" s="9"/>
      <c r="O226" s="9"/>
      <c r="P226" s="9"/>
      <c r="Q226" s="9"/>
      <c r="R226" s="8"/>
      <c r="S226" s="8"/>
      <c r="T226" s="8"/>
      <c r="U226" s="78"/>
      <c r="V226" s="8"/>
    </row>
    <row r="227" spans="1:22">
      <c r="A227" s="21">
        <v>43363</v>
      </c>
      <c r="B227" s="22">
        <v>27.37</v>
      </c>
      <c r="C227" s="20">
        <v>1.5584415584415649E-2</v>
      </c>
      <c r="D227" s="55">
        <v>1</v>
      </c>
      <c r="E227" s="55">
        <v>66887.02681669133</v>
      </c>
      <c r="F227" s="55">
        <v>139688.6595588809</v>
      </c>
      <c r="G227" s="55">
        <v>1</v>
      </c>
      <c r="H227" s="55">
        <v>0</v>
      </c>
      <c r="I227" s="55">
        <v>66887.02681669133</v>
      </c>
      <c r="J227" s="55">
        <v>139688.6595588809</v>
      </c>
      <c r="K227" s="55">
        <v>1</v>
      </c>
      <c r="L227" s="55" t="b">
        <v>1</v>
      </c>
      <c r="M227" s="86"/>
      <c r="N227" s="9"/>
      <c r="O227" s="9"/>
      <c r="P227" s="9"/>
      <c r="Q227" s="9"/>
      <c r="R227" s="8"/>
      <c r="S227" s="8"/>
      <c r="T227" s="8"/>
      <c r="U227" s="78"/>
      <c r="V227" s="8"/>
    </row>
    <row r="228" spans="1:22">
      <c r="A228" s="21">
        <v>43364</v>
      </c>
      <c r="B228" s="22">
        <v>27.52</v>
      </c>
      <c r="C228" s="20">
        <v>5.4804530507854797E-3</v>
      </c>
      <c r="D228" s="55">
        <v>1</v>
      </c>
      <c r="E228" s="55">
        <v>66887.02681669133</v>
      </c>
      <c r="F228" s="55">
        <v>139688.6595588809</v>
      </c>
      <c r="G228" s="55">
        <v>1</v>
      </c>
      <c r="H228" s="55">
        <v>0</v>
      </c>
      <c r="I228" s="55">
        <v>66887.02681669133</v>
      </c>
      <c r="J228" s="55">
        <v>139688.6595588809</v>
      </c>
      <c r="K228" s="55">
        <v>1</v>
      </c>
      <c r="L228" s="55" t="b">
        <v>1</v>
      </c>
      <c r="M228" s="86"/>
      <c r="N228" s="9"/>
      <c r="O228" s="9"/>
      <c r="P228" s="9"/>
      <c r="Q228" s="9"/>
      <c r="R228" s="8"/>
      <c r="S228" s="8"/>
      <c r="T228" s="8"/>
      <c r="U228" s="78"/>
      <c r="V228" s="8"/>
    </row>
    <row r="229" spans="1:22">
      <c r="A229" s="21">
        <v>43367</v>
      </c>
      <c r="B229" s="22">
        <v>27.274999999999999</v>
      </c>
      <c r="C229" s="20">
        <v>-8.9026162790698041E-3</v>
      </c>
      <c r="D229" s="55">
        <v>0</v>
      </c>
      <c r="E229" s="55">
        <v>66887.02681669133</v>
      </c>
      <c r="F229" s="55">
        <v>139688.6595588809</v>
      </c>
      <c r="G229" s="55">
        <v>1</v>
      </c>
      <c r="H229" s="55">
        <v>0</v>
      </c>
      <c r="I229" s="55">
        <v>66887.02681669133</v>
      </c>
      <c r="J229" s="55">
        <v>139688.6595588809</v>
      </c>
      <c r="K229" s="55">
        <v>1</v>
      </c>
      <c r="L229" s="57" t="b">
        <v>0</v>
      </c>
      <c r="M229" s="86"/>
      <c r="N229" s="9"/>
      <c r="O229" s="9"/>
      <c r="P229" s="9"/>
      <c r="Q229" s="9"/>
      <c r="R229" s="8"/>
      <c r="S229" s="8"/>
      <c r="T229" s="8"/>
      <c r="U229" s="78"/>
      <c r="V229" s="8"/>
    </row>
    <row r="230" spans="1:22">
      <c r="A230" s="21">
        <v>43368</v>
      </c>
      <c r="B230" s="22">
        <v>27.715</v>
      </c>
      <c r="C230" s="20">
        <v>1.6131989000916638E-2</v>
      </c>
      <c r="D230" s="55">
        <v>1</v>
      </c>
      <c r="E230" s="55">
        <v>66887.02681669133</v>
      </c>
      <c r="F230" s="55">
        <v>139688.6595588809</v>
      </c>
      <c r="G230" s="55">
        <v>1</v>
      </c>
      <c r="H230" s="55">
        <v>0</v>
      </c>
      <c r="I230" s="55">
        <v>66887.02681669133</v>
      </c>
      <c r="J230" s="55">
        <v>139688.6595588809</v>
      </c>
      <c r="K230" s="55">
        <v>1</v>
      </c>
      <c r="L230" s="55" t="b">
        <v>1</v>
      </c>
      <c r="M230" s="86"/>
      <c r="N230" s="9"/>
      <c r="O230" s="9"/>
      <c r="P230" s="9"/>
      <c r="Q230" s="9"/>
      <c r="R230" s="8"/>
      <c r="S230" s="8"/>
      <c r="T230" s="8"/>
      <c r="U230" s="78"/>
      <c r="V230" s="8"/>
    </row>
    <row r="231" spans="1:22">
      <c r="A231" s="21">
        <v>43369</v>
      </c>
      <c r="B231" s="22">
        <v>27.32</v>
      </c>
      <c r="C231" s="20">
        <v>-1.4252209994587752E-2</v>
      </c>
      <c r="D231" s="55">
        <v>0</v>
      </c>
      <c r="E231" s="55">
        <v>66887.02681669133</v>
      </c>
      <c r="F231" s="55">
        <v>139688.6595588809</v>
      </c>
      <c r="G231" s="55">
        <v>3.3614519752390579E-72</v>
      </c>
      <c r="H231" s="55">
        <v>-9.1834867963531054E-71</v>
      </c>
      <c r="I231" s="55">
        <v>66887.02681669133</v>
      </c>
      <c r="J231" s="55">
        <v>139688.6595588809</v>
      </c>
      <c r="K231" s="55">
        <v>-1</v>
      </c>
      <c r="L231" s="55" t="b">
        <v>1</v>
      </c>
      <c r="M231" s="86"/>
      <c r="N231" s="9"/>
      <c r="O231" s="9"/>
      <c r="P231" s="9"/>
      <c r="Q231" s="9"/>
      <c r="R231" s="8"/>
      <c r="S231" s="8"/>
      <c r="T231" s="8"/>
      <c r="U231" s="78"/>
      <c r="V231" s="8"/>
    </row>
    <row r="232" spans="1:22">
      <c r="A232" s="21">
        <v>43370</v>
      </c>
      <c r="B232" s="22">
        <v>27.04</v>
      </c>
      <c r="C232" s="20">
        <v>-1.0248901903367538E-2</v>
      </c>
      <c r="D232" s="55">
        <v>0</v>
      </c>
      <c r="E232" s="55">
        <v>66887.02681669133</v>
      </c>
      <c r="F232" s="55">
        <v>139688.6595588809</v>
      </c>
      <c r="G232" s="55">
        <v>1</v>
      </c>
      <c r="H232" s="55">
        <v>0</v>
      </c>
      <c r="I232" s="55">
        <v>66887.02681669133</v>
      </c>
      <c r="J232" s="55">
        <v>139688.6595588809</v>
      </c>
      <c r="K232" s="55">
        <v>1</v>
      </c>
      <c r="L232" s="57" t="b">
        <v>0</v>
      </c>
      <c r="M232" s="86"/>
      <c r="N232" s="9"/>
      <c r="O232" s="9"/>
      <c r="P232" s="9"/>
      <c r="Q232" s="9"/>
      <c r="R232" s="8"/>
      <c r="S232" s="8"/>
      <c r="T232" s="8"/>
      <c r="U232" s="78"/>
      <c r="V232" s="8"/>
    </row>
    <row r="233" spans="1:22">
      <c r="A233" s="21">
        <v>43371</v>
      </c>
      <c r="B233" s="22">
        <v>26.8</v>
      </c>
      <c r="C233" s="20">
        <v>-8.8757396449703572E-3</v>
      </c>
      <c r="D233" s="55">
        <v>0</v>
      </c>
      <c r="E233" s="55">
        <v>66887.02681669133</v>
      </c>
      <c r="F233" s="55">
        <v>139688.6595588809</v>
      </c>
      <c r="G233" s="55">
        <v>0</v>
      </c>
      <c r="H233" s="55">
        <v>0</v>
      </c>
      <c r="I233" s="55">
        <v>66887.02681669133</v>
      </c>
      <c r="J233" s="55">
        <v>139688.6595588809</v>
      </c>
      <c r="K233" s="55">
        <v>-1</v>
      </c>
      <c r="L233" s="55" t="b">
        <v>1</v>
      </c>
      <c r="M233" s="86"/>
      <c r="N233" s="9"/>
      <c r="O233" s="9"/>
      <c r="P233" s="9"/>
      <c r="Q233" s="9"/>
      <c r="R233" s="8"/>
      <c r="S233" s="8"/>
      <c r="T233" s="8"/>
      <c r="U233" s="78"/>
      <c r="V233" s="8"/>
    </row>
    <row r="234" spans="1:22">
      <c r="A234" s="21">
        <v>43374</v>
      </c>
      <c r="B234" s="22">
        <v>26.605</v>
      </c>
      <c r="C234" s="20">
        <v>-7.2761194029850847E-3</v>
      </c>
      <c r="D234" s="55">
        <v>0</v>
      </c>
      <c r="E234" s="55">
        <v>66887.02681669133</v>
      </c>
      <c r="F234" s="55">
        <v>139688.6595588809</v>
      </c>
      <c r="G234" s="55">
        <v>0</v>
      </c>
      <c r="H234" s="55">
        <v>0</v>
      </c>
      <c r="I234" s="55">
        <v>66887.02681669133</v>
      </c>
      <c r="J234" s="55">
        <v>139688.6595588809</v>
      </c>
      <c r="K234" s="55">
        <v>-1</v>
      </c>
      <c r="L234" s="55" t="b">
        <v>1</v>
      </c>
      <c r="M234" s="86"/>
      <c r="N234" s="9"/>
      <c r="O234" s="9"/>
      <c r="P234" s="9"/>
      <c r="Q234" s="9"/>
      <c r="R234" s="8"/>
      <c r="S234" s="8"/>
      <c r="T234" s="8"/>
      <c r="U234" s="78"/>
      <c r="V234" s="8"/>
    </row>
    <row r="235" spans="1:22">
      <c r="A235" s="21">
        <v>43375</v>
      </c>
      <c r="B235" s="22">
        <v>26.66</v>
      </c>
      <c r="C235" s="20">
        <v>2.0672805863559372E-3</v>
      </c>
      <c r="D235" s="55">
        <v>1</v>
      </c>
      <c r="E235" s="55">
        <v>66887.02681669133</v>
      </c>
      <c r="F235" s="55">
        <v>139688.6595588809</v>
      </c>
      <c r="G235" s="55">
        <v>0</v>
      </c>
      <c r="H235" s="55">
        <v>0</v>
      </c>
      <c r="I235" s="55">
        <v>66887.02681669133</v>
      </c>
      <c r="J235" s="55">
        <v>139688.6595588809</v>
      </c>
      <c r="K235" s="55">
        <v>-1</v>
      </c>
      <c r="L235" s="57" t="b">
        <v>0</v>
      </c>
      <c r="M235" s="86"/>
      <c r="N235" s="9"/>
      <c r="O235" s="9"/>
      <c r="P235" s="9"/>
      <c r="Q235" s="9"/>
      <c r="R235" s="8"/>
      <c r="S235" s="8"/>
      <c r="T235" s="8"/>
      <c r="U235" s="78"/>
      <c r="V235" s="8"/>
    </row>
    <row r="236" spans="1:22">
      <c r="A236" s="21">
        <v>43376</v>
      </c>
      <c r="B236" s="22">
        <v>27.05</v>
      </c>
      <c r="C236" s="20">
        <v>1.4628657164291094E-2</v>
      </c>
      <c r="D236" s="55">
        <v>1</v>
      </c>
      <c r="E236" s="55">
        <v>66887.02681669133</v>
      </c>
      <c r="F236" s="55">
        <v>139688.6595588809</v>
      </c>
      <c r="G236" s="55">
        <v>0</v>
      </c>
      <c r="H236" s="55">
        <v>0</v>
      </c>
      <c r="I236" s="55">
        <v>66887.02681669133</v>
      </c>
      <c r="J236" s="55">
        <v>139688.6595588809</v>
      </c>
      <c r="K236" s="55">
        <v>-1</v>
      </c>
      <c r="L236" s="57" t="b">
        <v>0</v>
      </c>
      <c r="M236" s="86"/>
      <c r="N236" s="9"/>
      <c r="O236" s="9"/>
      <c r="P236" s="9"/>
      <c r="Q236" s="9"/>
      <c r="R236" s="8"/>
      <c r="S236" s="8"/>
      <c r="T236" s="8"/>
      <c r="U236" s="78"/>
      <c r="V236" s="8"/>
    </row>
    <row r="237" spans="1:22">
      <c r="A237" s="21">
        <v>43377</v>
      </c>
      <c r="B237" s="22">
        <v>26.85</v>
      </c>
      <c r="C237" s="20">
        <v>-7.3937153419593084E-3</v>
      </c>
      <c r="D237" s="55">
        <v>0</v>
      </c>
      <c r="E237" s="55">
        <v>66887.02681669133</v>
      </c>
      <c r="F237" s="55">
        <v>139688.6595588809</v>
      </c>
      <c r="G237" s="55">
        <v>1</v>
      </c>
      <c r="H237" s="55">
        <v>0</v>
      </c>
      <c r="I237" s="55">
        <v>66887.02681669133</v>
      </c>
      <c r="J237" s="55">
        <v>139688.6595588809</v>
      </c>
      <c r="K237" s="55">
        <v>1</v>
      </c>
      <c r="L237" s="57" t="b">
        <v>0</v>
      </c>
      <c r="M237" s="86"/>
      <c r="N237" s="9"/>
      <c r="O237" s="9"/>
      <c r="P237" s="9"/>
      <c r="Q237" s="9"/>
      <c r="R237" s="8"/>
      <c r="S237" s="8"/>
      <c r="T237" s="8"/>
      <c r="U237" s="78"/>
      <c r="V237" s="8"/>
    </row>
    <row r="238" spans="1:22">
      <c r="A238" s="21">
        <v>43378</v>
      </c>
      <c r="B238" s="22">
        <v>25.815000000000001</v>
      </c>
      <c r="C238" s="20">
        <v>-3.8547486033519554E-2</v>
      </c>
      <c r="D238" s="55">
        <v>0</v>
      </c>
      <c r="E238" s="55">
        <v>66887.02681669133</v>
      </c>
      <c r="F238" s="55">
        <v>139688.6595588809</v>
      </c>
      <c r="G238" s="55">
        <v>1</v>
      </c>
      <c r="H238" s="55">
        <v>0</v>
      </c>
      <c r="I238" s="55">
        <v>66887.02681669133</v>
      </c>
      <c r="J238" s="55">
        <v>139688.6595588809</v>
      </c>
      <c r="K238" s="55">
        <v>1</v>
      </c>
      <c r="L238" s="57" t="b">
        <v>0</v>
      </c>
      <c r="M238" s="86"/>
      <c r="N238" s="9"/>
      <c r="O238" s="9"/>
      <c r="P238" s="9"/>
      <c r="Q238" s="9"/>
      <c r="R238" s="8"/>
      <c r="S238" s="8"/>
      <c r="T238" s="8"/>
      <c r="U238" s="78"/>
      <c r="V238" s="8"/>
    </row>
    <row r="239" spans="1:22">
      <c r="A239" s="21">
        <v>43381</v>
      </c>
      <c r="B239" s="22">
        <v>25.56</v>
      </c>
      <c r="C239" s="20">
        <v>-9.8779779198141602E-3</v>
      </c>
      <c r="D239" s="55">
        <v>0</v>
      </c>
      <c r="E239" s="55">
        <v>66887.02681669133</v>
      </c>
      <c r="F239" s="55">
        <v>139688.6595588809</v>
      </c>
      <c r="G239" s="55">
        <v>0</v>
      </c>
      <c r="H239" s="55">
        <v>0</v>
      </c>
      <c r="I239" s="55">
        <v>66887.02681669133</v>
      </c>
      <c r="J239" s="55">
        <v>139688.6595588809</v>
      </c>
      <c r="K239" s="55">
        <v>-1</v>
      </c>
      <c r="L239" s="55" t="b">
        <v>1</v>
      </c>
      <c r="M239" s="86"/>
      <c r="N239" s="9"/>
      <c r="O239" s="9"/>
      <c r="P239" s="9"/>
      <c r="Q239" s="9"/>
      <c r="R239" s="8"/>
      <c r="S239" s="8"/>
      <c r="T239" s="8"/>
      <c r="U239" s="78"/>
      <c r="V239" s="8"/>
    </row>
    <row r="240" spans="1:22">
      <c r="A240" s="21">
        <v>43382</v>
      </c>
      <c r="B240" s="22">
        <v>26</v>
      </c>
      <c r="C240" s="20">
        <v>1.7214397496087688E-2</v>
      </c>
      <c r="D240" s="55">
        <v>1</v>
      </c>
      <c r="E240" s="55">
        <v>66887.02681669133</v>
      </c>
      <c r="F240" s="55">
        <v>139688.6595588809</v>
      </c>
      <c r="G240" s="55">
        <v>0</v>
      </c>
      <c r="H240" s="55">
        <v>0</v>
      </c>
      <c r="I240" s="55">
        <v>66887.02681669133</v>
      </c>
      <c r="J240" s="55">
        <v>139688.6595588809</v>
      </c>
      <c r="K240" s="55">
        <v>-1</v>
      </c>
      <c r="L240" s="57" t="b">
        <v>0</v>
      </c>
      <c r="M240" s="86"/>
      <c r="N240" s="9"/>
      <c r="O240" s="9"/>
      <c r="P240" s="9"/>
      <c r="Q240" s="9"/>
      <c r="R240" s="8"/>
      <c r="S240" s="8"/>
      <c r="T240" s="8"/>
      <c r="U240" s="78"/>
      <c r="V240" s="8"/>
    </row>
    <row r="241" spans="1:22">
      <c r="A241" s="21">
        <v>43383</v>
      </c>
      <c r="B241" s="22">
        <v>24.76</v>
      </c>
      <c r="C241" s="20">
        <v>-4.7692307692307631E-2</v>
      </c>
      <c r="D241" s="55">
        <v>0</v>
      </c>
      <c r="E241" s="55">
        <v>66887.02681669133</v>
      </c>
      <c r="F241" s="55">
        <v>139688.6595588809</v>
      </c>
      <c r="G241" s="55">
        <v>6.2769329808765578E-100</v>
      </c>
      <c r="H241" s="55">
        <v>-1.5541686060650357E-98</v>
      </c>
      <c r="I241" s="55">
        <v>66887.02681669133</v>
      </c>
      <c r="J241" s="55">
        <v>139688.6595588809</v>
      </c>
      <c r="K241" s="55">
        <v>-1</v>
      </c>
      <c r="L241" s="55" t="b">
        <v>1</v>
      </c>
      <c r="M241" s="86"/>
      <c r="N241" s="9"/>
      <c r="O241" s="9"/>
      <c r="P241" s="9"/>
      <c r="Q241" s="9"/>
      <c r="R241" s="8"/>
      <c r="S241" s="8"/>
      <c r="T241" s="8"/>
      <c r="U241" s="78"/>
      <c r="V241" s="8"/>
    </row>
    <row r="242" spans="1:22">
      <c r="A242" s="21">
        <v>43384</v>
      </c>
      <c r="B242" s="22">
        <v>24.2</v>
      </c>
      <c r="C242" s="20">
        <v>-2.2617124394184257E-2</v>
      </c>
      <c r="D242" s="55">
        <v>0</v>
      </c>
      <c r="E242" s="55">
        <v>66887.02681669133</v>
      </c>
      <c r="F242" s="55">
        <v>139688.6595588809</v>
      </c>
      <c r="G242" s="55">
        <v>0</v>
      </c>
      <c r="H242" s="55">
        <v>0</v>
      </c>
      <c r="I242" s="55">
        <v>66887.02681669133</v>
      </c>
      <c r="J242" s="55">
        <v>139688.6595588809</v>
      </c>
      <c r="K242" s="55">
        <v>-1</v>
      </c>
      <c r="L242" s="55" t="b">
        <v>1</v>
      </c>
      <c r="M242" s="86"/>
      <c r="N242" s="9"/>
      <c r="O242" s="9"/>
      <c r="P242" s="9"/>
      <c r="Q242" s="9"/>
      <c r="R242" s="8"/>
      <c r="S242" s="8"/>
      <c r="T242" s="8"/>
      <c r="U242" s="78"/>
      <c r="V242" s="8"/>
    </row>
    <row r="243" spans="1:22">
      <c r="A243" s="21">
        <v>43385</v>
      </c>
      <c r="B243" s="22">
        <v>24.61</v>
      </c>
      <c r="C243" s="20">
        <v>1.6942148760330584E-2</v>
      </c>
      <c r="D243" s="55">
        <v>1</v>
      </c>
      <c r="E243" s="55">
        <v>66887.02681669133</v>
      </c>
      <c r="F243" s="55">
        <v>139688.6595588809</v>
      </c>
      <c r="G243" s="55">
        <v>0</v>
      </c>
      <c r="H243" s="55">
        <v>0</v>
      </c>
      <c r="I243" s="55">
        <v>66887.02681669133</v>
      </c>
      <c r="J243" s="55">
        <v>139688.6595588809</v>
      </c>
      <c r="K243" s="55">
        <v>-1</v>
      </c>
      <c r="L243" s="57" t="b">
        <v>0</v>
      </c>
      <c r="M243" s="86"/>
      <c r="N243" s="9"/>
      <c r="O243" s="9"/>
      <c r="P243" s="9"/>
      <c r="Q243" s="9"/>
      <c r="R243" s="8"/>
      <c r="S243" s="8"/>
      <c r="T243" s="8"/>
      <c r="U243" s="78"/>
      <c r="V243" s="8"/>
    </row>
    <row r="244" spans="1:22">
      <c r="A244" s="21">
        <v>43388</v>
      </c>
      <c r="B244" s="22">
        <v>24.54</v>
      </c>
      <c r="C244" s="20">
        <v>-2.8443722064201661E-3</v>
      </c>
      <c r="D244" s="55">
        <v>0</v>
      </c>
      <c r="E244" s="55">
        <v>66887.02681669133</v>
      </c>
      <c r="F244" s="55">
        <v>139688.6595588809</v>
      </c>
      <c r="G244" s="55">
        <v>0</v>
      </c>
      <c r="H244" s="55">
        <v>0</v>
      </c>
      <c r="I244" s="55">
        <v>66887.02681669133</v>
      </c>
      <c r="J244" s="55">
        <v>139688.6595588809</v>
      </c>
      <c r="K244" s="55">
        <v>-1</v>
      </c>
      <c r="L244" s="55" t="b">
        <v>1</v>
      </c>
      <c r="M244" s="86"/>
      <c r="N244" s="9"/>
      <c r="O244" s="9"/>
      <c r="P244" s="9"/>
      <c r="Q244" s="9"/>
      <c r="R244" s="8"/>
      <c r="S244" s="8"/>
      <c r="T244" s="8"/>
      <c r="U244" s="78"/>
      <c r="V244" s="8"/>
    </row>
    <row r="245" spans="1:22">
      <c r="A245" s="21">
        <v>43389</v>
      </c>
      <c r="B245" s="22">
        <v>24.8</v>
      </c>
      <c r="C245" s="20">
        <v>1.0594947025264938E-2</v>
      </c>
      <c r="D245" s="55">
        <v>1</v>
      </c>
      <c r="E245" s="55">
        <v>66887.02681669133</v>
      </c>
      <c r="F245" s="55">
        <v>139688.6595588809</v>
      </c>
      <c r="G245" s="55">
        <v>1</v>
      </c>
      <c r="H245" s="55">
        <v>0</v>
      </c>
      <c r="I245" s="55">
        <v>66887.02681669133</v>
      </c>
      <c r="J245" s="55">
        <v>139688.6595588809</v>
      </c>
      <c r="K245" s="55">
        <v>1</v>
      </c>
      <c r="L245" s="55" t="b">
        <v>1</v>
      </c>
      <c r="M245" s="86"/>
      <c r="N245" s="9"/>
      <c r="O245" s="9"/>
      <c r="P245" s="9"/>
      <c r="Q245" s="9"/>
      <c r="R245" s="8"/>
      <c r="S245" s="8"/>
      <c r="T245" s="8"/>
      <c r="U245" s="78"/>
      <c r="V245" s="8"/>
    </row>
    <row r="246" spans="1:22">
      <c r="A246" s="21">
        <v>43390</v>
      </c>
      <c r="B246" s="22">
        <v>24.805</v>
      </c>
      <c r="C246" s="20">
        <v>2.0161290322576634E-4</v>
      </c>
      <c r="D246" s="55">
        <v>1</v>
      </c>
      <c r="E246" s="55">
        <v>66887.02681669133</v>
      </c>
      <c r="F246" s="55">
        <v>139688.6595588809</v>
      </c>
      <c r="G246" s="55">
        <v>1</v>
      </c>
      <c r="H246" s="55">
        <v>0</v>
      </c>
      <c r="I246" s="55">
        <v>66887.02681669133</v>
      </c>
      <c r="J246" s="55">
        <v>139688.6595588809</v>
      </c>
      <c r="K246" s="55">
        <v>1</v>
      </c>
      <c r="L246" s="55" t="b">
        <v>1</v>
      </c>
      <c r="M246" s="86"/>
      <c r="N246" s="9"/>
      <c r="O246" s="9"/>
      <c r="P246" s="9"/>
      <c r="Q246" s="9"/>
      <c r="R246" s="8"/>
      <c r="S246" s="8"/>
      <c r="T246" s="8"/>
      <c r="U246" s="78"/>
      <c r="V246" s="8"/>
    </row>
    <row r="247" spans="1:22">
      <c r="A247" s="21">
        <v>43391</v>
      </c>
      <c r="B247" s="22">
        <v>24.73</v>
      </c>
      <c r="C247" s="20">
        <v>-3.0235839548477844E-3</v>
      </c>
      <c r="D247" s="55">
        <v>0</v>
      </c>
      <c r="E247" s="55">
        <v>66887.02681669133</v>
      </c>
      <c r="F247" s="55">
        <v>139688.6595588809</v>
      </c>
      <c r="G247" s="55">
        <v>1</v>
      </c>
      <c r="H247" s="55">
        <v>0</v>
      </c>
      <c r="I247" s="55">
        <v>66887.02681669133</v>
      </c>
      <c r="J247" s="55">
        <v>139688.6595588809</v>
      </c>
      <c r="K247" s="55">
        <v>1</v>
      </c>
      <c r="L247" s="57" t="b">
        <v>0</v>
      </c>
      <c r="M247" s="86"/>
      <c r="N247" s="9"/>
      <c r="O247" s="9"/>
      <c r="P247" s="9"/>
      <c r="Q247" s="9"/>
      <c r="R247" s="8"/>
      <c r="S247" s="8"/>
      <c r="T247" s="8"/>
      <c r="U247" s="78"/>
      <c r="V247" s="8"/>
    </row>
    <row r="248" spans="1:22">
      <c r="A248" s="21">
        <v>43392</v>
      </c>
      <c r="B248" s="22">
        <v>23.754999999999999</v>
      </c>
      <c r="C248" s="20">
        <v>-3.9425798625151692E-2</v>
      </c>
      <c r="D248" s="55">
        <v>0</v>
      </c>
      <c r="E248" s="55">
        <v>66887.02681669133</v>
      </c>
      <c r="F248" s="55">
        <v>139688.6595588809</v>
      </c>
      <c r="G248" s="55">
        <v>2.5117059873608348E-76</v>
      </c>
      <c r="H248" s="55">
        <v>-5.9665575729756633E-75</v>
      </c>
      <c r="I248" s="55">
        <v>66887.02681669133</v>
      </c>
      <c r="J248" s="55">
        <v>139688.6595588809</v>
      </c>
      <c r="K248" s="55">
        <v>-1</v>
      </c>
      <c r="L248" s="55" t="b">
        <v>1</v>
      </c>
      <c r="M248" s="86"/>
      <c r="N248" s="9"/>
      <c r="O248" s="9"/>
      <c r="P248" s="9"/>
      <c r="Q248" s="9"/>
      <c r="R248" s="8"/>
      <c r="S248" s="8"/>
      <c r="T248" s="8"/>
      <c r="U248" s="78"/>
      <c r="V248" s="8"/>
    </row>
    <row r="249" spans="1:22">
      <c r="A249" s="21">
        <v>43395</v>
      </c>
      <c r="B249" s="22">
        <v>23.57</v>
      </c>
      <c r="C249" s="20">
        <v>-7.787834140180961E-3</v>
      </c>
      <c r="D249" s="55">
        <v>0</v>
      </c>
      <c r="E249" s="55">
        <v>66887.02681669133</v>
      </c>
      <c r="F249" s="55">
        <v>139688.6595588809</v>
      </c>
      <c r="G249" s="55">
        <v>0</v>
      </c>
      <c r="H249" s="55">
        <v>0</v>
      </c>
      <c r="I249" s="55">
        <v>66887.02681669133</v>
      </c>
      <c r="J249" s="55">
        <v>139688.6595588809</v>
      </c>
      <c r="K249" s="55">
        <v>-1</v>
      </c>
      <c r="L249" s="55" t="b">
        <v>1</v>
      </c>
      <c r="M249" s="86"/>
      <c r="N249" s="9"/>
      <c r="O249" s="9"/>
      <c r="P249" s="9"/>
      <c r="Q249" s="9"/>
      <c r="R249" s="8"/>
      <c r="S249" s="8"/>
      <c r="T249" s="8"/>
      <c r="U249" s="78"/>
      <c r="V249" s="8"/>
    </row>
    <row r="250" spans="1:22">
      <c r="A250" s="21">
        <v>43396</v>
      </c>
      <c r="B250" s="22">
        <v>22.975000000000001</v>
      </c>
      <c r="C250" s="20">
        <v>-2.5243954179041104E-2</v>
      </c>
      <c r="D250" s="55">
        <v>0</v>
      </c>
      <c r="E250" s="55">
        <v>66887.02681669133</v>
      </c>
      <c r="F250" s="55">
        <v>139688.6595588809</v>
      </c>
      <c r="G250" s="55">
        <v>0</v>
      </c>
      <c r="H250" s="55">
        <v>0</v>
      </c>
      <c r="I250" s="55">
        <v>66887.02681669133</v>
      </c>
      <c r="J250" s="55">
        <v>139688.6595588809</v>
      </c>
      <c r="K250" s="55">
        <v>-1</v>
      </c>
      <c r="L250" s="55" t="b">
        <v>1</v>
      </c>
      <c r="M250" s="86"/>
      <c r="N250" s="9"/>
      <c r="O250" s="9"/>
      <c r="P250" s="9"/>
      <c r="Q250" s="9"/>
      <c r="R250" s="8"/>
      <c r="S250" s="8"/>
      <c r="T250" s="8"/>
      <c r="U250" s="78"/>
      <c r="V250" s="8"/>
    </row>
    <row r="251" spans="1:22">
      <c r="A251" s="21">
        <v>43397</v>
      </c>
      <c r="B251" s="22">
        <v>21.635000000000002</v>
      </c>
      <c r="C251" s="20">
        <v>-5.8324265505984754E-2</v>
      </c>
      <c r="D251" s="55">
        <v>0</v>
      </c>
      <c r="E251" s="55">
        <v>66887.02681669133</v>
      </c>
      <c r="F251" s="55">
        <v>139688.6595588809</v>
      </c>
      <c r="G251" s="55">
        <v>0</v>
      </c>
      <c r="H251" s="55">
        <v>0</v>
      </c>
      <c r="I251" s="55">
        <v>66887.02681669133</v>
      </c>
      <c r="J251" s="55">
        <v>139688.6595588809</v>
      </c>
      <c r="K251" s="55">
        <v>-1</v>
      </c>
      <c r="L251" s="55" t="b">
        <v>1</v>
      </c>
      <c r="M251" s="86"/>
      <c r="N251" s="9"/>
      <c r="O251" s="9"/>
      <c r="P251" s="9"/>
      <c r="Q251" s="9"/>
      <c r="R251" s="8"/>
      <c r="S251" s="8"/>
      <c r="T251" s="8"/>
      <c r="U251" s="78"/>
      <c r="V251" s="8"/>
    </row>
    <row r="252" spans="1:22">
      <c r="A252" s="21">
        <v>43398</v>
      </c>
      <c r="B252" s="22">
        <v>22.055</v>
      </c>
      <c r="C252" s="20">
        <v>1.9412988213542783E-2</v>
      </c>
      <c r="D252" s="55">
        <v>1</v>
      </c>
      <c r="E252" s="55">
        <v>66887.02681669133</v>
      </c>
      <c r="F252" s="55">
        <v>139688.6595588809</v>
      </c>
      <c r="G252" s="55">
        <v>0</v>
      </c>
      <c r="H252" s="55">
        <v>0</v>
      </c>
      <c r="I252" s="55">
        <v>66887.02681669133</v>
      </c>
      <c r="J252" s="55">
        <v>139688.6595588809</v>
      </c>
      <c r="K252" s="55">
        <v>-1</v>
      </c>
      <c r="L252" s="57" t="b">
        <v>0</v>
      </c>
      <c r="M252" s="86"/>
      <c r="N252" s="9"/>
      <c r="O252" s="9"/>
      <c r="P252" s="9"/>
      <c r="Q252" s="9"/>
      <c r="R252" s="8"/>
      <c r="S252" s="8"/>
      <c r="T252" s="8"/>
      <c r="U252" s="78"/>
      <c r="V252" s="8"/>
    </row>
    <row r="253" spans="1:22">
      <c r="A253" s="21">
        <v>43399</v>
      </c>
      <c r="B253" s="22">
        <v>21.285</v>
      </c>
      <c r="C253" s="20">
        <v>-3.4912718204488762E-2</v>
      </c>
      <c r="D253" s="55">
        <v>0</v>
      </c>
      <c r="E253" s="55">
        <v>66887.02681669133</v>
      </c>
      <c r="F253" s="55">
        <v>139688.6595588809</v>
      </c>
      <c r="G253" s="55">
        <v>0</v>
      </c>
      <c r="H253" s="55">
        <v>0</v>
      </c>
      <c r="I253" s="55">
        <v>66887.02681669133</v>
      </c>
      <c r="J253" s="55">
        <v>139688.6595588809</v>
      </c>
      <c r="K253" s="55">
        <v>-1</v>
      </c>
      <c r="L253" s="55" t="b">
        <v>1</v>
      </c>
      <c r="M253" s="86"/>
      <c r="N253" s="9"/>
      <c r="O253" s="9"/>
      <c r="P253" s="9"/>
      <c r="Q253" s="9"/>
      <c r="R253" s="8"/>
      <c r="S253" s="8"/>
      <c r="T253" s="8"/>
      <c r="U253" s="78"/>
      <c r="V253" s="8"/>
    </row>
    <row r="254" spans="1:22">
      <c r="A254" s="21">
        <v>43402</v>
      </c>
      <c r="B254" s="22">
        <v>22.12</v>
      </c>
      <c r="C254" s="20">
        <v>3.9229504345783456E-2</v>
      </c>
      <c r="D254" s="55">
        <v>1</v>
      </c>
      <c r="E254" s="55">
        <v>66887.02681669133</v>
      </c>
      <c r="F254" s="55">
        <v>139688.6595588809</v>
      </c>
      <c r="G254" s="55">
        <v>1</v>
      </c>
      <c r="H254" s="55">
        <v>0</v>
      </c>
      <c r="I254" s="55">
        <v>66887.02681669133</v>
      </c>
      <c r="J254" s="55">
        <v>139688.6595588809</v>
      </c>
      <c r="K254" s="55">
        <v>1</v>
      </c>
      <c r="L254" s="55" t="b">
        <v>1</v>
      </c>
      <c r="M254" s="86"/>
      <c r="N254" s="9"/>
      <c r="O254" s="9"/>
      <c r="P254" s="9"/>
      <c r="Q254" s="9"/>
      <c r="R254" s="8"/>
      <c r="S254" s="8"/>
      <c r="T254" s="8"/>
      <c r="U254" s="78"/>
      <c r="V254" s="8"/>
    </row>
    <row r="255" spans="1:22">
      <c r="A255" s="21">
        <v>43403</v>
      </c>
      <c r="B255" s="22">
        <v>21.545000000000002</v>
      </c>
      <c r="C255" s="20">
        <v>-2.5994575045207923E-2</v>
      </c>
      <c r="D255" s="55">
        <v>0</v>
      </c>
      <c r="E255" s="55">
        <v>66887.02681669133</v>
      </c>
      <c r="F255" s="55">
        <v>139688.6595588809</v>
      </c>
      <c r="G255" s="55">
        <v>0</v>
      </c>
      <c r="H255" s="55">
        <v>0</v>
      </c>
      <c r="I255" s="55">
        <v>66887.02681669133</v>
      </c>
      <c r="J255" s="55">
        <v>139688.6595588809</v>
      </c>
      <c r="K255" s="55">
        <v>-1</v>
      </c>
      <c r="L255" s="55" t="b">
        <v>1</v>
      </c>
      <c r="M255" s="86"/>
      <c r="N255" s="9"/>
      <c r="O255" s="9"/>
      <c r="P255" s="9"/>
      <c r="Q255" s="9"/>
      <c r="R255" s="8"/>
      <c r="S255" s="8"/>
      <c r="T255" s="8"/>
      <c r="U255" s="78"/>
      <c r="V255" s="8"/>
    </row>
    <row r="256" spans="1:22">
      <c r="A256" s="21">
        <v>43404</v>
      </c>
      <c r="B256" s="22">
        <v>22.04</v>
      </c>
      <c r="C256" s="20">
        <v>2.2975168252494658E-2</v>
      </c>
      <c r="D256" s="55">
        <v>1</v>
      </c>
      <c r="E256" s="55">
        <v>66887.02681669133</v>
      </c>
      <c r="F256" s="55">
        <v>139688.6595588809</v>
      </c>
      <c r="G256" s="55">
        <v>1</v>
      </c>
      <c r="H256" s="55">
        <v>0</v>
      </c>
      <c r="I256" s="55">
        <v>66887.02681669133</v>
      </c>
      <c r="J256" s="55">
        <v>139688.6595588809</v>
      </c>
      <c r="K256" s="55">
        <v>1</v>
      </c>
      <c r="L256" s="55" t="b">
        <v>1</v>
      </c>
      <c r="M256" s="86"/>
      <c r="N256" s="9"/>
      <c r="O256" s="9"/>
      <c r="P256" s="9"/>
      <c r="Q256" s="9"/>
      <c r="R256" s="8"/>
      <c r="S256" s="8"/>
      <c r="T256" s="8"/>
      <c r="U256" s="78"/>
      <c r="V256" s="8"/>
    </row>
    <row r="257" spans="1:22">
      <c r="A257" s="21">
        <v>43405</v>
      </c>
      <c r="B257" s="22">
        <v>22.225000000000001</v>
      </c>
      <c r="C257" s="20">
        <v>8.393829401089032E-3</v>
      </c>
      <c r="D257" s="55">
        <v>1</v>
      </c>
      <c r="E257" s="55">
        <v>66887.02681669133</v>
      </c>
      <c r="F257" s="55">
        <v>139688.6595588809</v>
      </c>
      <c r="G257" s="55">
        <v>0</v>
      </c>
      <c r="H257" s="55">
        <v>0</v>
      </c>
      <c r="I257" s="55">
        <v>66887.02681669133</v>
      </c>
      <c r="J257" s="55">
        <v>139688.6595588809</v>
      </c>
      <c r="K257" s="55">
        <v>-1</v>
      </c>
      <c r="L257" s="57" t="b">
        <v>0</v>
      </c>
      <c r="M257" s="86"/>
      <c r="N257" s="9"/>
      <c r="O257" s="9"/>
      <c r="P257" s="9"/>
      <c r="Q257" s="9"/>
      <c r="R257" s="8"/>
      <c r="S257" s="8"/>
      <c r="T257" s="8"/>
      <c r="U257" s="78"/>
      <c r="V257" s="8"/>
    </row>
    <row r="258" spans="1:22">
      <c r="A258" s="21">
        <v>43406</v>
      </c>
      <c r="B258" s="22">
        <v>22.285</v>
      </c>
      <c r="C258" s="20">
        <v>2.6996625421821696E-3</v>
      </c>
      <c r="D258" s="55">
        <v>1</v>
      </c>
      <c r="E258" s="55">
        <v>66887.02681669133</v>
      </c>
      <c r="F258" s="55">
        <v>139688.6595588809</v>
      </c>
      <c r="G258" s="55">
        <v>1</v>
      </c>
      <c r="H258" s="55">
        <v>0</v>
      </c>
      <c r="I258" s="55">
        <v>66887.02681669133</v>
      </c>
      <c r="J258" s="55">
        <v>139688.6595588809</v>
      </c>
      <c r="K258" s="55">
        <v>1</v>
      </c>
      <c r="L258" s="55" t="b">
        <v>1</v>
      </c>
      <c r="M258" s="86"/>
      <c r="N258" s="9"/>
      <c r="O258" s="9"/>
      <c r="P258" s="9"/>
      <c r="Q258" s="9"/>
      <c r="R258" s="8"/>
      <c r="S258" s="8"/>
      <c r="T258" s="8"/>
      <c r="U258" s="78"/>
      <c r="V258" s="8"/>
    </row>
    <row r="259" spans="1:22">
      <c r="A259" s="21">
        <v>43409</v>
      </c>
      <c r="B259" s="22">
        <v>22.46</v>
      </c>
      <c r="C259" s="20">
        <v>7.8528157953780889E-3</v>
      </c>
      <c r="D259" s="55">
        <v>1</v>
      </c>
      <c r="E259" s="55">
        <v>66887.02681669133</v>
      </c>
      <c r="F259" s="55">
        <v>139688.6595588809</v>
      </c>
      <c r="G259" s="55">
        <v>1</v>
      </c>
      <c r="H259" s="55">
        <v>0</v>
      </c>
      <c r="I259" s="55">
        <v>66887.02681669133</v>
      </c>
      <c r="J259" s="55">
        <v>139688.6595588809</v>
      </c>
      <c r="K259" s="55">
        <v>1</v>
      </c>
      <c r="L259" s="55" t="b">
        <v>1</v>
      </c>
      <c r="M259" s="86"/>
      <c r="N259" s="9"/>
      <c r="O259" s="9"/>
      <c r="P259" s="9"/>
      <c r="Q259" s="9"/>
      <c r="R259" s="8"/>
      <c r="S259" s="8"/>
      <c r="T259" s="8"/>
      <c r="U259" s="78"/>
      <c r="V259" s="8"/>
    </row>
    <row r="260" spans="1:22">
      <c r="A260" s="21">
        <v>43410</v>
      </c>
      <c r="B260" s="22">
        <v>22.454999999999998</v>
      </c>
      <c r="C260" s="20">
        <v>-2.2261798753350659E-4</v>
      </c>
      <c r="D260" s="55">
        <v>0</v>
      </c>
      <c r="E260" s="55">
        <v>66887.02681669133</v>
      </c>
      <c r="F260" s="55">
        <v>139688.6595588809</v>
      </c>
      <c r="G260" s="55">
        <v>1</v>
      </c>
      <c r="H260" s="55">
        <v>0</v>
      </c>
      <c r="I260" s="55">
        <v>66887.02681669133</v>
      </c>
      <c r="J260" s="55">
        <v>139688.6595588809</v>
      </c>
      <c r="K260" s="55">
        <v>1</v>
      </c>
      <c r="L260" s="57" t="b">
        <v>0</v>
      </c>
      <c r="M260" s="86"/>
      <c r="N260" s="9"/>
      <c r="O260" s="9"/>
      <c r="P260" s="9"/>
      <c r="Q260" s="9"/>
      <c r="R260" s="8"/>
      <c r="S260" s="8"/>
      <c r="T260" s="8"/>
      <c r="U260" s="78"/>
      <c r="V260" s="8"/>
    </row>
    <row r="261" spans="1:22">
      <c r="A261" s="21">
        <v>43411</v>
      </c>
      <c r="B261" s="22">
        <v>22.66</v>
      </c>
      <c r="C261" s="20">
        <v>9.1293698508128195E-3</v>
      </c>
      <c r="D261" s="55">
        <v>1</v>
      </c>
      <c r="E261" s="55">
        <v>66887.02681669133</v>
      </c>
      <c r="F261" s="55">
        <v>139688.6595588809</v>
      </c>
      <c r="G261" s="55">
        <v>1</v>
      </c>
      <c r="H261" s="55">
        <v>0</v>
      </c>
      <c r="I261" s="55">
        <v>66887.02681669133</v>
      </c>
      <c r="J261" s="55">
        <v>139688.6595588809</v>
      </c>
      <c r="K261" s="55">
        <v>1</v>
      </c>
      <c r="L261" s="55" t="b">
        <v>1</v>
      </c>
      <c r="M261" s="86"/>
      <c r="N261" s="9"/>
      <c r="O261" s="9"/>
      <c r="P261" s="9"/>
      <c r="Q261" s="9"/>
      <c r="R261" s="8"/>
      <c r="S261" s="8"/>
      <c r="T261" s="8"/>
      <c r="U261" s="78"/>
      <c r="V261" s="8"/>
    </row>
    <row r="262" spans="1:22">
      <c r="A262" s="21">
        <v>43412</v>
      </c>
      <c r="B262" s="22">
        <v>22.8</v>
      </c>
      <c r="C262" s="20">
        <v>6.1782877316858146E-3</v>
      </c>
      <c r="D262" s="55">
        <v>1</v>
      </c>
      <c r="E262" s="55">
        <v>66887.02681669133</v>
      </c>
      <c r="F262" s="55">
        <v>139688.6595588809</v>
      </c>
      <c r="G262" s="55">
        <v>1</v>
      </c>
      <c r="H262" s="55">
        <v>0</v>
      </c>
      <c r="I262" s="55">
        <v>66887.02681669133</v>
      </c>
      <c r="J262" s="55">
        <v>139688.6595588809</v>
      </c>
      <c r="K262" s="55">
        <v>1</v>
      </c>
      <c r="L262" s="55" t="b">
        <v>1</v>
      </c>
      <c r="M262" s="86"/>
      <c r="N262" s="9"/>
      <c r="O262" s="9"/>
      <c r="P262" s="9"/>
      <c r="Q262" s="9"/>
      <c r="R262" s="8"/>
      <c r="S262" s="8"/>
      <c r="T262" s="8"/>
      <c r="U262" s="78"/>
      <c r="V262" s="8"/>
    </row>
    <row r="263" spans="1:22">
      <c r="A263" s="21">
        <v>43413</v>
      </c>
      <c r="B263" s="22">
        <v>22.26</v>
      </c>
      <c r="C263" s="20">
        <v>-2.3684210526315752E-2</v>
      </c>
      <c r="D263" s="55">
        <v>0</v>
      </c>
      <c r="E263" s="55">
        <v>66887.02681669133</v>
      </c>
      <c r="F263" s="55">
        <v>139688.6595588809</v>
      </c>
      <c r="G263" s="55">
        <v>1</v>
      </c>
      <c r="H263" s="55">
        <v>0</v>
      </c>
      <c r="I263" s="55">
        <v>66887.02681669133</v>
      </c>
      <c r="J263" s="55">
        <v>139688.6595588809</v>
      </c>
      <c r="K263" s="55">
        <v>1</v>
      </c>
      <c r="L263" s="57" t="b">
        <v>0</v>
      </c>
      <c r="M263" s="86"/>
      <c r="N263" s="9"/>
      <c r="O263" s="9"/>
      <c r="P263" s="9"/>
      <c r="Q263" s="9"/>
      <c r="R263" s="8"/>
      <c r="S263" s="8"/>
      <c r="T263" s="8"/>
      <c r="U263" s="78"/>
      <c r="V263" s="8"/>
    </row>
    <row r="264" spans="1:22">
      <c r="A264" s="21">
        <v>43416</v>
      </c>
      <c r="B264" s="22">
        <v>21.75</v>
      </c>
      <c r="C264" s="20">
        <v>-2.2911051212938075E-2</v>
      </c>
      <c r="D264" s="55">
        <v>0</v>
      </c>
      <c r="E264" s="55">
        <v>66887.02681669133</v>
      </c>
      <c r="F264" s="55">
        <v>139688.6595588809</v>
      </c>
      <c r="G264" s="55">
        <v>0</v>
      </c>
      <c r="H264" s="55">
        <v>0</v>
      </c>
      <c r="I264" s="55">
        <v>66887.02681669133</v>
      </c>
      <c r="J264" s="55">
        <v>139688.6595588809</v>
      </c>
      <c r="K264" s="55">
        <v>-1</v>
      </c>
      <c r="L264" s="55" t="b">
        <v>1</v>
      </c>
      <c r="M264" s="86"/>
      <c r="N264" s="9"/>
      <c r="O264" s="9"/>
      <c r="P264" s="9"/>
      <c r="Q264" s="9"/>
      <c r="R264" s="8"/>
      <c r="S264" s="8"/>
      <c r="T264" s="8"/>
      <c r="U264" s="78"/>
      <c r="V264" s="8"/>
    </row>
    <row r="265" spans="1:22">
      <c r="A265" s="21">
        <v>43417</v>
      </c>
      <c r="B265" s="22">
        <v>21.635000000000002</v>
      </c>
      <c r="C265" s="20">
        <v>-5.2873563218390086E-3</v>
      </c>
      <c r="D265" s="55">
        <v>0</v>
      </c>
      <c r="E265" s="55">
        <v>66887.02681669133</v>
      </c>
      <c r="F265" s="55">
        <v>139688.6595588809</v>
      </c>
      <c r="G265" s="55">
        <v>0</v>
      </c>
      <c r="H265" s="55">
        <v>0</v>
      </c>
      <c r="I265" s="55">
        <v>66887.02681669133</v>
      </c>
      <c r="J265" s="55">
        <v>139688.6595588809</v>
      </c>
      <c r="K265" s="55">
        <v>-1</v>
      </c>
      <c r="L265" s="55" t="b">
        <v>1</v>
      </c>
      <c r="M265" s="86"/>
      <c r="N265" s="9"/>
      <c r="O265" s="9"/>
      <c r="P265" s="9"/>
      <c r="Q265" s="9"/>
      <c r="R265" s="8"/>
      <c r="S265" s="8"/>
      <c r="T265" s="8"/>
      <c r="U265" s="78"/>
      <c r="V265" s="8"/>
    </row>
    <row r="266" spans="1:22">
      <c r="A266" s="21">
        <v>43418</v>
      </c>
      <c r="B266" s="22">
        <v>21.53</v>
      </c>
      <c r="C266" s="20">
        <v>-4.8532470533857366E-3</v>
      </c>
      <c r="D266" s="55">
        <v>0</v>
      </c>
      <c r="E266" s="55">
        <v>66887.02681669133</v>
      </c>
      <c r="F266" s="55">
        <v>139688.6595588809</v>
      </c>
      <c r="G266" s="55">
        <v>0</v>
      </c>
      <c r="H266" s="55">
        <v>0</v>
      </c>
      <c r="I266" s="55">
        <v>66887.02681669133</v>
      </c>
      <c r="J266" s="55">
        <v>139688.6595588809</v>
      </c>
      <c r="K266" s="55">
        <v>-1</v>
      </c>
      <c r="L266" s="55" t="b">
        <v>1</v>
      </c>
      <c r="M266" s="86"/>
      <c r="N266" s="9"/>
      <c r="O266" s="9"/>
      <c r="P266" s="9"/>
      <c r="Q266" s="9"/>
      <c r="R266" s="8"/>
      <c r="S266" s="8"/>
      <c r="T266" s="8"/>
      <c r="U266" s="78"/>
      <c r="V266" s="8"/>
    </row>
    <row r="267" spans="1:22">
      <c r="A267" s="21">
        <v>43419</v>
      </c>
      <c r="B267" s="22">
        <v>21.77</v>
      </c>
      <c r="C267" s="20">
        <v>1.1147236414305546E-2</v>
      </c>
      <c r="D267" s="55">
        <v>1</v>
      </c>
      <c r="E267" s="55">
        <v>66887.02681669133</v>
      </c>
      <c r="F267" s="55">
        <v>139688.6595588809</v>
      </c>
      <c r="G267" s="55">
        <v>0</v>
      </c>
      <c r="H267" s="55">
        <v>0</v>
      </c>
      <c r="I267" s="55">
        <v>66887.02681669133</v>
      </c>
      <c r="J267" s="55">
        <v>139688.6595588809</v>
      </c>
      <c r="K267" s="55">
        <v>-1</v>
      </c>
      <c r="L267" s="57" t="b">
        <v>0</v>
      </c>
      <c r="M267" s="86"/>
      <c r="N267" s="9"/>
      <c r="O267" s="9"/>
      <c r="P267" s="9"/>
      <c r="Q267" s="9"/>
      <c r="R267" s="8"/>
      <c r="S267" s="8"/>
      <c r="T267" s="8"/>
      <c r="U267" s="78"/>
      <c r="V267" s="8"/>
    </row>
    <row r="268" spans="1:22">
      <c r="A268" s="21">
        <v>43420</v>
      </c>
      <c r="B268" s="22">
        <v>21.765000000000001</v>
      </c>
      <c r="C268" s="20">
        <v>-2.2967386311433189E-4</v>
      </c>
      <c r="D268" s="55">
        <v>0</v>
      </c>
      <c r="E268" s="55">
        <v>66887.02681669133</v>
      </c>
      <c r="F268" s="55">
        <v>139688.6595588809</v>
      </c>
      <c r="G268" s="55">
        <v>1</v>
      </c>
      <c r="H268" s="55">
        <v>0</v>
      </c>
      <c r="I268" s="55">
        <v>66887.02681669133</v>
      </c>
      <c r="J268" s="55">
        <v>139688.6595588809</v>
      </c>
      <c r="K268" s="55">
        <v>1</v>
      </c>
      <c r="L268" s="57" t="b">
        <v>0</v>
      </c>
      <c r="M268" s="86"/>
      <c r="N268" s="9"/>
      <c r="O268" s="9"/>
      <c r="P268" s="9"/>
      <c r="Q268" s="9"/>
      <c r="R268" s="8"/>
      <c r="S268" s="8"/>
      <c r="T268" s="8"/>
      <c r="U268" s="78"/>
      <c r="V268" s="8"/>
    </row>
    <row r="269" spans="1:22">
      <c r="A269" s="21">
        <v>43423</v>
      </c>
      <c r="B269" s="22">
        <v>21.675000000000001</v>
      </c>
      <c r="C269" s="20">
        <v>-4.1350792556857276E-3</v>
      </c>
      <c r="D269" s="55">
        <v>0</v>
      </c>
      <c r="E269" s="55">
        <v>66887.02681669133</v>
      </c>
      <c r="F269" s="55">
        <v>139688.6595588809</v>
      </c>
      <c r="G269" s="55">
        <v>1</v>
      </c>
      <c r="H269" s="55">
        <v>0</v>
      </c>
      <c r="I269" s="55">
        <v>66887.02681669133</v>
      </c>
      <c r="J269" s="55">
        <v>139688.6595588809</v>
      </c>
      <c r="K269" s="55">
        <v>1</v>
      </c>
      <c r="L269" s="57" t="b">
        <v>0</v>
      </c>
      <c r="M269" s="86"/>
      <c r="N269" s="9"/>
      <c r="O269" s="9"/>
      <c r="P269" s="9"/>
      <c r="Q269" s="9"/>
      <c r="R269" s="8"/>
      <c r="S269" s="8"/>
      <c r="T269" s="8"/>
      <c r="U269" s="78"/>
      <c r="V269" s="8"/>
    </row>
    <row r="270" spans="1:22">
      <c r="D270" s="87"/>
      <c r="E270" s="87"/>
      <c r="F270" s="87"/>
      <c r="G270" s="87"/>
      <c r="H270" s="87"/>
      <c r="I270" s="87"/>
      <c r="J270" s="87"/>
      <c r="K270" s="87"/>
      <c r="L270" s="87"/>
      <c r="M270" s="88"/>
    </row>
    <row r="271" spans="1:22">
      <c r="M271" s="88"/>
    </row>
  </sheetData>
  <mergeCells count="7">
    <mergeCell ref="N32:Q36"/>
    <mergeCell ref="N39:O39"/>
    <mergeCell ref="N30:O30"/>
    <mergeCell ref="N6:Q6"/>
    <mergeCell ref="N22:Q22"/>
    <mergeCell ref="N23:Q26"/>
    <mergeCell ref="N27:P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impleLayerPerceptron.Main">
                <anchor moveWithCells="1" sizeWithCells="1">
                  <from>
                    <xdr:col>13</xdr:col>
                    <xdr:colOff>1016000</xdr:colOff>
                    <xdr:row>11</xdr:row>
                    <xdr:rowOff>88900</xdr:rowOff>
                  </from>
                  <to>
                    <xdr:col>16</xdr:col>
                    <xdr:colOff>0</xdr:colOff>
                    <xdr:row>13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learCell_SP">
                <anchor moveWithCells="1" sizeWithCells="1">
                  <from>
                    <xdr:col>13</xdr:col>
                    <xdr:colOff>1016000</xdr:colOff>
                    <xdr:row>6</xdr:row>
                    <xdr:rowOff>101600</xdr:rowOff>
                  </from>
                  <to>
                    <xdr:col>16</xdr:col>
                    <xdr:colOff>25400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econd_way_to_asses_y_predicted">
                <anchor moveWithCells="1" sizeWithCells="1">
                  <from>
                    <xdr:col>12</xdr:col>
                    <xdr:colOff>812800</xdr:colOff>
                    <xdr:row>26</xdr:row>
                    <xdr:rowOff>203200</xdr:rowOff>
                  </from>
                  <to>
                    <xdr:col>16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impleLayerPerceptron.Clear_other_way_to_assess">
                <anchor moveWithCells="1" sizeWithCells="1">
                  <from>
                    <xdr:col>16</xdr:col>
                    <xdr:colOff>12700</xdr:colOff>
                    <xdr:row>27</xdr:row>
                    <xdr:rowOff>12700</xdr:rowOff>
                  </from>
                  <to>
                    <xdr:col>17</xdr:col>
                    <xdr:colOff>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SimpleLayerPerceptron.Clear_other_way_to_assess">
                <anchor moveWithCells="1" sizeWithCells="1">
                  <from>
                    <xdr:col>16</xdr:col>
                    <xdr:colOff>25400</xdr:colOff>
                    <xdr:row>36</xdr:row>
                    <xdr:rowOff>12700</xdr:rowOff>
                  </from>
                  <to>
                    <xdr:col>16</xdr:col>
                    <xdr:colOff>1028700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Third_way_to_asses_y_predicted">
                <anchor moveWithCells="1" sizeWithCells="1">
                  <from>
                    <xdr:col>13</xdr:col>
                    <xdr:colOff>12700</xdr:colOff>
                    <xdr:row>36</xdr:row>
                    <xdr:rowOff>0</xdr:rowOff>
                  </from>
                  <to>
                    <xdr:col>16</xdr:col>
                    <xdr:colOff>38100</xdr:colOff>
                    <xdr:row>37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1F3A0-DE35-0B49-A6B7-BC84896B5749}">
  <sheetPr codeName="Feuil3"/>
  <dimension ref="A1:O269"/>
  <sheetViews>
    <sheetView tabSelected="1" zoomScale="84" workbookViewId="0">
      <selection activeCell="J11" sqref="J11"/>
    </sheetView>
  </sheetViews>
  <sheetFormatPr baseColWidth="10" defaultRowHeight="16"/>
  <cols>
    <col min="1" max="1" width="10.83203125" style="23"/>
    <col min="2" max="2" width="10.83203125" style="24"/>
    <col min="3" max="3" width="13.6640625" style="11" customWidth="1"/>
    <col min="4" max="4" width="16.1640625" style="114" customWidth="1"/>
    <col min="5" max="5" width="12.33203125" style="114" customWidth="1"/>
    <col min="6" max="6" width="23.83203125" style="114" customWidth="1"/>
    <col min="7" max="7" width="26.1640625" style="24" customWidth="1"/>
    <col min="8" max="8" width="13.6640625" style="11" customWidth="1"/>
    <col min="9" max="9" width="13.83203125" bestFit="1" customWidth="1"/>
    <col min="10" max="10" width="13.5" customWidth="1"/>
    <col min="11" max="11" width="20.5" customWidth="1"/>
    <col min="14" max="14" width="13.83203125" bestFit="1" customWidth="1"/>
  </cols>
  <sheetData>
    <row r="1" spans="1:15" ht="31" customHeight="1">
      <c r="A1" s="54" t="s">
        <v>23</v>
      </c>
      <c r="B1" s="49" t="s">
        <v>4</v>
      </c>
      <c r="C1" s="49" t="s">
        <v>8</v>
      </c>
      <c r="D1" s="56" t="s">
        <v>44</v>
      </c>
      <c r="E1" s="56" t="s">
        <v>43</v>
      </c>
      <c r="F1" s="146" t="s">
        <v>62</v>
      </c>
      <c r="G1" s="56" t="s">
        <v>42</v>
      </c>
      <c r="H1" s="50"/>
      <c r="I1" s="50"/>
      <c r="J1" s="56" t="s">
        <v>59</v>
      </c>
      <c r="L1" s="126" t="s">
        <v>32</v>
      </c>
      <c r="M1" s="127"/>
      <c r="N1" s="127"/>
      <c r="O1" s="128"/>
    </row>
    <row r="2" spans="1:15">
      <c r="A2" s="21">
        <v>43040</v>
      </c>
      <c r="B2" s="22">
        <v>25.31</v>
      </c>
      <c r="C2" s="80"/>
      <c r="D2" s="83"/>
      <c r="E2" s="83"/>
      <c r="F2" s="83"/>
      <c r="G2" s="113"/>
      <c r="H2" s="149"/>
      <c r="I2" s="8"/>
      <c r="J2" s="120">
        <f>1/2</f>
        <v>0.5</v>
      </c>
      <c r="L2" s="31"/>
      <c r="M2" s="32"/>
      <c r="N2" s="32"/>
      <c r="O2" s="33"/>
    </row>
    <row r="3" spans="1:15">
      <c r="A3" s="21">
        <v>43041</v>
      </c>
      <c r="B3" s="22">
        <v>25.45</v>
      </c>
      <c r="C3" s="20">
        <v>5.5314105096799914E-3</v>
      </c>
      <c r="D3" s="80"/>
      <c r="E3" s="80"/>
      <c r="F3" s="80"/>
      <c r="G3" s="113"/>
      <c r="H3" s="150"/>
      <c r="I3" s="77"/>
      <c r="J3" s="8"/>
      <c r="L3" s="34"/>
      <c r="M3" s="28"/>
      <c r="N3" s="28"/>
      <c r="O3" s="35"/>
    </row>
    <row r="4" spans="1:15" ht="19">
      <c r="A4" s="21">
        <v>43042</v>
      </c>
      <c r="B4" s="22">
        <v>25.495000000000001</v>
      </c>
      <c r="C4" s="20">
        <v>1.7681728880157841E-3</v>
      </c>
      <c r="D4" s="80"/>
      <c r="E4" s="80"/>
      <c r="F4" s="80"/>
      <c r="G4" s="113"/>
      <c r="H4" s="150"/>
      <c r="I4" s="115"/>
      <c r="J4" s="112" t="s">
        <v>31</v>
      </c>
      <c r="L4" s="34"/>
      <c r="M4" s="28"/>
      <c r="N4" s="29"/>
      <c r="O4" s="36"/>
    </row>
    <row r="5" spans="1:15" ht="19">
      <c r="A5" s="21">
        <v>43045</v>
      </c>
      <c r="B5" s="22">
        <v>25.39</v>
      </c>
      <c r="C5" s="20">
        <v>-4.118454598940985E-3</v>
      </c>
      <c r="D5" s="84"/>
      <c r="E5" s="84"/>
      <c r="F5" s="84"/>
      <c r="G5" s="113"/>
      <c r="H5" s="151"/>
      <c r="I5" s="76"/>
      <c r="J5" s="117">
        <v>0.46768060836501901</v>
      </c>
      <c r="L5" s="47" t="s">
        <v>36</v>
      </c>
      <c r="M5" s="30" t="s">
        <v>33</v>
      </c>
      <c r="N5" s="46">
        <f>A6</f>
        <v>43046</v>
      </c>
      <c r="O5" s="36"/>
    </row>
    <row r="6" spans="1:15" ht="19">
      <c r="A6" s="21">
        <v>43046</v>
      </c>
      <c r="B6" s="22">
        <v>25.355</v>
      </c>
      <c r="C6" s="20">
        <v>-1.3784954706577447E-3</v>
      </c>
      <c r="D6" s="118">
        <v>0</v>
      </c>
      <c r="E6" s="118">
        <v>0.60907523099221883</v>
      </c>
      <c r="F6" s="148">
        <v>1</v>
      </c>
      <c r="G6" s="147" t="b">
        <v>0</v>
      </c>
      <c r="H6" s="154"/>
      <c r="I6" s="76"/>
      <c r="J6" s="75"/>
      <c r="L6" s="48" t="s">
        <v>36</v>
      </c>
      <c r="M6" s="30" t="s">
        <v>34</v>
      </c>
      <c r="N6" s="46">
        <f>A269</f>
        <v>43423</v>
      </c>
      <c r="O6" s="36"/>
    </row>
    <row r="7" spans="1:15">
      <c r="A7" s="21">
        <v>43047</v>
      </c>
      <c r="B7" s="22">
        <v>25.175000000000001</v>
      </c>
      <c r="C7" s="20">
        <v>-7.0991914809702119E-3</v>
      </c>
      <c r="D7" s="118">
        <v>0</v>
      </c>
      <c r="E7" s="118">
        <v>0.59158743273675818</v>
      </c>
      <c r="F7" s="148">
        <v>1</v>
      </c>
      <c r="G7" s="119" t="b">
        <v>0</v>
      </c>
      <c r="H7" s="152"/>
      <c r="I7" s="77"/>
      <c r="J7" s="8"/>
      <c r="L7" s="34"/>
      <c r="M7" s="28"/>
      <c r="N7" s="28"/>
      <c r="O7" s="35"/>
    </row>
    <row r="8" spans="1:15">
      <c r="A8" s="21">
        <v>43048</v>
      </c>
      <c r="B8" s="22">
        <v>24.32</v>
      </c>
      <c r="C8" s="20">
        <v>-3.396226415094341E-2</v>
      </c>
      <c r="D8" s="118">
        <v>0</v>
      </c>
      <c r="E8" s="118">
        <v>0.57391667724737672</v>
      </c>
      <c r="F8" s="148">
        <v>1</v>
      </c>
      <c r="G8" s="119" t="b">
        <v>0</v>
      </c>
      <c r="H8" s="152"/>
      <c r="I8" s="77"/>
      <c r="J8" s="8"/>
      <c r="L8" s="34"/>
      <c r="M8" s="28"/>
      <c r="N8" s="28"/>
      <c r="O8" s="35"/>
    </row>
    <row r="9" spans="1:15">
      <c r="A9" s="21">
        <v>43049</v>
      </c>
      <c r="B9" s="22">
        <v>25.14</v>
      </c>
      <c r="C9" s="20">
        <v>3.3717105263157909E-2</v>
      </c>
      <c r="D9" s="118">
        <v>1</v>
      </c>
      <c r="E9" s="118">
        <v>0.55609755827781238</v>
      </c>
      <c r="F9" s="148">
        <v>1</v>
      </c>
      <c r="G9" s="118" t="b">
        <v>1</v>
      </c>
      <c r="H9" s="152"/>
      <c r="I9" s="77"/>
      <c r="J9" s="8"/>
      <c r="L9" s="34"/>
      <c r="M9" s="28"/>
      <c r="N9" s="28"/>
      <c r="O9" s="35"/>
    </row>
    <row r="10" spans="1:15">
      <c r="A10" s="21">
        <v>43052</v>
      </c>
      <c r="B10" s="22">
        <v>24.844999999999999</v>
      </c>
      <c r="C10" s="20">
        <v>-1.1734287987271349E-2</v>
      </c>
      <c r="D10" s="118">
        <v>0</v>
      </c>
      <c r="E10" s="118">
        <v>0.5381654301127744</v>
      </c>
      <c r="F10" s="148">
        <v>1</v>
      </c>
      <c r="G10" s="119" t="b">
        <v>0</v>
      </c>
      <c r="H10" s="152"/>
      <c r="I10" s="77"/>
      <c r="J10" s="8"/>
      <c r="L10" s="37"/>
      <c r="M10" s="38"/>
      <c r="N10" s="38"/>
      <c r="O10" s="39"/>
    </row>
    <row r="11" spans="1:15">
      <c r="A11" s="21">
        <v>43053</v>
      </c>
      <c r="B11" s="22">
        <v>23.594999999999999</v>
      </c>
      <c r="C11" s="20">
        <v>-5.0311933990742609E-2</v>
      </c>
      <c r="D11" s="118">
        <v>0</v>
      </c>
      <c r="E11" s="118">
        <v>0.52015622348580903</v>
      </c>
      <c r="F11" s="148">
        <v>1</v>
      </c>
      <c r="G11" s="119" t="b">
        <v>0</v>
      </c>
      <c r="H11" s="152"/>
      <c r="I11" s="116"/>
    </row>
    <row r="12" spans="1:15">
      <c r="A12" s="21">
        <v>43054</v>
      </c>
      <c r="B12" s="22">
        <v>23.565000000000001</v>
      </c>
      <c r="C12" s="20">
        <v>-1.27145581691026E-3</v>
      </c>
      <c r="D12" s="118">
        <v>0</v>
      </c>
      <c r="E12" s="118">
        <v>0.50210625955800436</v>
      </c>
      <c r="F12" s="148">
        <v>1</v>
      </c>
      <c r="G12" s="119" t="b">
        <v>0</v>
      </c>
      <c r="H12" s="152"/>
      <c r="I12" s="116"/>
    </row>
    <row r="13" spans="1:15">
      <c r="A13" s="21">
        <v>43055</v>
      </c>
      <c r="B13" s="22">
        <v>23.75</v>
      </c>
      <c r="C13" s="20">
        <v>7.8506259282834171E-3</v>
      </c>
      <c r="D13" s="118">
        <v>1</v>
      </c>
      <c r="E13" s="118">
        <v>0.48405206269826068</v>
      </c>
      <c r="F13" s="148">
        <v>-1</v>
      </c>
      <c r="G13" s="119" t="b">
        <v>0</v>
      </c>
      <c r="H13" s="152"/>
      <c r="I13" s="116"/>
    </row>
    <row r="14" spans="1:15">
      <c r="A14" s="21">
        <v>43056</v>
      </c>
      <c r="B14" s="22">
        <v>23.66</v>
      </c>
      <c r="C14" s="20">
        <v>-3.7894736842105205E-3</v>
      </c>
      <c r="D14" s="118">
        <v>0</v>
      </c>
      <c r="E14" s="118">
        <v>0.46603017275363112</v>
      </c>
      <c r="F14" s="148">
        <v>-1</v>
      </c>
      <c r="G14" s="118" t="b">
        <v>1</v>
      </c>
      <c r="H14" s="152"/>
      <c r="I14" s="116"/>
      <c r="J14" s="135" t="s">
        <v>54</v>
      </c>
      <c r="K14" s="136"/>
      <c r="L14" s="136"/>
      <c r="M14" s="136"/>
      <c r="N14" s="136"/>
    </row>
    <row r="15" spans="1:15">
      <c r="A15" s="21">
        <v>43059</v>
      </c>
      <c r="B15" s="22">
        <v>23.96</v>
      </c>
      <c r="C15" s="20">
        <v>1.2679628064243479E-2</v>
      </c>
      <c r="D15" s="118">
        <v>1</v>
      </c>
      <c r="E15" s="118">
        <v>0.44807695746858339</v>
      </c>
      <c r="F15" s="148">
        <v>-1</v>
      </c>
      <c r="G15" s="119" t="b">
        <v>0</v>
      </c>
      <c r="H15" s="152"/>
      <c r="I15" s="116"/>
      <c r="J15" s="137"/>
      <c r="K15" s="137"/>
      <c r="L15" s="137"/>
      <c r="M15" s="137"/>
      <c r="N15" s="137"/>
    </row>
    <row r="16" spans="1:15">
      <c r="A16" s="21">
        <v>43060</v>
      </c>
      <c r="B16" s="22">
        <v>24.54</v>
      </c>
      <c r="C16" s="20">
        <v>2.42070116861435E-2</v>
      </c>
      <c r="D16" s="118">
        <v>1</v>
      </c>
      <c r="E16" s="118">
        <v>0.43022842570521602</v>
      </c>
      <c r="F16" s="148">
        <v>-1</v>
      </c>
      <c r="G16" s="119" t="b">
        <v>0</v>
      </c>
      <c r="H16" s="152"/>
      <c r="I16" s="116"/>
      <c r="J16" s="137"/>
      <c r="K16" s="137"/>
      <c r="L16" s="137"/>
      <c r="M16" s="137"/>
      <c r="N16" s="137"/>
    </row>
    <row r="17" spans="1:14">
      <c r="A17" s="21">
        <v>43061</v>
      </c>
      <c r="B17" s="22">
        <v>24.745000000000001</v>
      </c>
      <c r="C17" s="20">
        <v>8.3537082314589176E-3</v>
      </c>
      <c r="D17" s="118">
        <v>1</v>
      </c>
      <c r="E17" s="118">
        <v>0.41252004213227905</v>
      </c>
      <c r="F17" s="148">
        <v>-1</v>
      </c>
      <c r="G17" s="119" t="b">
        <v>0</v>
      </c>
      <c r="H17" s="152"/>
      <c r="I17" s="116"/>
      <c r="J17" s="133" t="s">
        <v>49</v>
      </c>
      <c r="K17" s="133"/>
      <c r="L17" s="133"/>
      <c r="M17" s="133"/>
      <c r="N17" s="133"/>
    </row>
    <row r="18" spans="1:14">
      <c r="A18" s="21">
        <v>43062</v>
      </c>
      <c r="B18" s="22">
        <v>24.82</v>
      </c>
      <c r="C18" s="20">
        <v>3.0309153364315735E-3</v>
      </c>
      <c r="D18" s="118">
        <v>1</v>
      </c>
      <c r="E18" s="118">
        <v>0.3949865440887409</v>
      </c>
      <c r="F18" s="148">
        <v>-1</v>
      </c>
      <c r="G18" s="119" t="b">
        <v>0</v>
      </c>
      <c r="H18" s="152"/>
      <c r="I18" s="116"/>
      <c r="J18" s="138"/>
      <c r="K18" s="138"/>
      <c r="L18" s="138"/>
      <c r="M18" s="138"/>
      <c r="N18" s="138"/>
    </row>
    <row r="19" spans="1:14">
      <c r="A19" s="21">
        <v>43063</v>
      </c>
      <c r="B19" s="22">
        <v>24.76</v>
      </c>
      <c r="C19" s="20">
        <v>-2.4174053182916488E-3</v>
      </c>
      <c r="D19" s="118">
        <v>0</v>
      </c>
      <c r="E19" s="118">
        <v>0.37766176138660568</v>
      </c>
      <c r="F19" s="148">
        <v>-1</v>
      </c>
      <c r="G19" s="118" t="b">
        <v>1</v>
      </c>
      <c r="H19" s="152"/>
      <c r="I19" s="116"/>
      <c r="J19" s="132" t="s">
        <v>46</v>
      </c>
      <c r="K19" s="90" t="s">
        <v>45</v>
      </c>
      <c r="L19" s="90">
        <v>1</v>
      </c>
      <c r="M19" s="90">
        <v>2</v>
      </c>
      <c r="N19" s="90">
        <v>3</v>
      </c>
    </row>
    <row r="20" spans="1:14">
      <c r="A20" s="21">
        <v>43066</v>
      </c>
      <c r="B20" s="22">
        <v>24.78</v>
      </c>
      <c r="C20" s="20">
        <v>8.0775444264941727E-4</v>
      </c>
      <c r="D20" s="118">
        <v>1</v>
      </c>
      <c r="E20" s="118">
        <v>0.3605784398962027</v>
      </c>
      <c r="F20" s="148">
        <v>-1</v>
      </c>
      <c r="G20" s="119" t="b">
        <v>0</v>
      </c>
      <c r="H20" s="152"/>
      <c r="I20" s="116"/>
      <c r="J20" s="132"/>
      <c r="K20" s="90">
        <v>1</v>
      </c>
      <c r="L20" s="89">
        <v>-1.6866327123605019E-2</v>
      </c>
      <c r="M20" s="89">
        <v>0.8766684524250401</v>
      </c>
      <c r="N20" s="89">
        <v>0.63845217148784528</v>
      </c>
    </row>
    <row r="21" spans="1:14">
      <c r="A21" s="21">
        <v>43067</v>
      </c>
      <c r="B21" s="22">
        <v>25.055</v>
      </c>
      <c r="C21" s="20">
        <v>1.1097659402744091E-2</v>
      </c>
      <c r="D21" s="118">
        <v>1</v>
      </c>
      <c r="E21" s="118">
        <v>0.34376806985303981</v>
      </c>
      <c r="F21" s="148">
        <v>-1</v>
      </c>
      <c r="G21" s="119" t="b">
        <v>0</v>
      </c>
      <c r="H21" s="152"/>
      <c r="I21" s="116"/>
      <c r="J21" s="132"/>
      <c r="K21" s="90">
        <v>2</v>
      </c>
      <c r="L21" s="89">
        <v>0.53303051606210405</v>
      </c>
      <c r="M21" s="89">
        <v>0.37276566639932351</v>
      </c>
      <c r="N21" s="89">
        <v>0.28902459755929666</v>
      </c>
    </row>
    <row r="22" spans="1:14">
      <c r="A22" s="21">
        <v>43068</v>
      </c>
      <c r="B22" s="22">
        <v>25.704999999999998</v>
      </c>
      <c r="C22" s="20">
        <v>2.5942925563759673E-2</v>
      </c>
      <c r="D22" s="118">
        <v>1</v>
      </c>
      <c r="E22" s="118">
        <v>0.32726071993544581</v>
      </c>
      <c r="F22" s="148">
        <v>-1</v>
      </c>
      <c r="G22" s="119" t="b">
        <v>0</v>
      </c>
      <c r="H22" s="152"/>
      <c r="I22" s="116"/>
      <c r="J22" s="132"/>
      <c r="K22" s="90">
        <v>3</v>
      </c>
      <c r="L22" s="89">
        <v>0.31617826548299899</v>
      </c>
      <c r="M22" s="89">
        <v>0.13324934569082414</v>
      </c>
      <c r="N22" s="89">
        <v>0.43732852068624606</v>
      </c>
    </row>
    <row r="23" spans="1:14">
      <c r="A23" s="21">
        <v>43069</v>
      </c>
      <c r="B23" s="22">
        <v>25.364999999999998</v>
      </c>
      <c r="C23" s="20">
        <v>-1.3226998638397195E-2</v>
      </c>
      <c r="D23" s="118">
        <v>0</v>
      </c>
      <c r="E23" s="118">
        <v>0.31108487828244491</v>
      </c>
      <c r="F23" s="148">
        <v>-1</v>
      </c>
      <c r="G23" s="118" t="b">
        <v>1</v>
      </c>
      <c r="H23" s="152"/>
      <c r="I23" s="116"/>
      <c r="J23" s="134"/>
      <c r="K23" s="134"/>
      <c r="L23" s="134"/>
      <c r="M23" s="134"/>
      <c r="N23" s="134"/>
    </row>
    <row r="24" spans="1:14">
      <c r="A24" s="21">
        <v>43070</v>
      </c>
      <c r="B24" s="22">
        <v>25.51</v>
      </c>
      <c r="C24" s="20">
        <v>5.7165385373547459E-3</v>
      </c>
      <c r="D24" s="118">
        <v>1</v>
      </c>
      <c r="E24" s="118">
        <v>0.29526730174613525</v>
      </c>
      <c r="F24" s="148">
        <v>-1</v>
      </c>
      <c r="G24" s="119" t="b">
        <v>0</v>
      </c>
      <c r="H24" s="152"/>
      <c r="I24" s="116"/>
      <c r="J24" s="132" t="s">
        <v>47</v>
      </c>
      <c r="K24" s="90" t="s">
        <v>45</v>
      </c>
      <c r="L24" s="90">
        <v>1</v>
      </c>
      <c r="M24" s="90">
        <v>2</v>
      </c>
      <c r="N24" s="90">
        <v>3</v>
      </c>
    </row>
    <row r="25" spans="1:14">
      <c r="A25" s="21">
        <v>43073</v>
      </c>
      <c r="B25" s="22">
        <v>26.2</v>
      </c>
      <c r="C25" s="20">
        <v>2.7048216385730996E-2</v>
      </c>
      <c r="D25" s="118">
        <v>1</v>
      </c>
      <c r="E25" s="118">
        <v>0.27983287479538715</v>
      </c>
      <c r="F25" s="148">
        <v>-1</v>
      </c>
      <c r="G25" s="119" t="b">
        <v>0</v>
      </c>
      <c r="H25" s="152"/>
      <c r="I25" s="116"/>
      <c r="J25" s="132"/>
      <c r="K25" s="90">
        <v>1</v>
      </c>
      <c r="L25" s="89">
        <v>3.2185424014654203</v>
      </c>
      <c r="M25" s="89">
        <v>3.1054429456319843</v>
      </c>
      <c r="N25" s="89">
        <v>3.1776357337560697</v>
      </c>
    </row>
    <row r="26" spans="1:14">
      <c r="A26" s="21">
        <v>43074</v>
      </c>
      <c r="B26" s="22">
        <v>25.72</v>
      </c>
      <c r="C26" s="20">
        <v>-1.8320610687022919E-2</v>
      </c>
      <c r="D26" s="118">
        <v>0</v>
      </c>
      <c r="E26" s="118">
        <v>0.26480447959958281</v>
      </c>
      <c r="F26" s="148">
        <v>-1</v>
      </c>
      <c r="G26" s="118" t="b">
        <v>1</v>
      </c>
      <c r="H26" s="152"/>
      <c r="I26" s="116"/>
      <c r="J26" s="132"/>
      <c r="K26" s="90">
        <v>2</v>
      </c>
      <c r="L26" s="89">
        <v>4.1511847461552733</v>
      </c>
      <c r="M26" s="89">
        <v>4.0930388654561174</v>
      </c>
      <c r="N26" s="89">
        <v>3.7437982047886949</v>
      </c>
    </row>
    <row r="27" spans="1:14">
      <c r="A27" s="21">
        <v>43075</v>
      </c>
      <c r="B27" s="22">
        <v>26.18</v>
      </c>
      <c r="C27" s="20">
        <v>1.7884914463452601E-2</v>
      </c>
      <c r="D27" s="118">
        <v>1</v>
      </c>
      <c r="E27" s="118">
        <v>0.25020287891268661</v>
      </c>
      <c r="F27" s="148">
        <v>-1</v>
      </c>
      <c r="G27" s="119" t="b">
        <v>0</v>
      </c>
      <c r="H27" s="153"/>
      <c r="J27" s="132"/>
      <c r="K27" s="90">
        <v>3</v>
      </c>
      <c r="L27" s="89">
        <v>4.9528363251309324</v>
      </c>
      <c r="M27" s="89">
        <v>4.3640498423199574</v>
      </c>
      <c r="N27" s="89">
        <v>4.4636531376461912</v>
      </c>
    </row>
    <row r="28" spans="1:14">
      <c r="A28" s="21">
        <v>43076</v>
      </c>
      <c r="B28" s="22">
        <v>26.2</v>
      </c>
      <c r="C28" s="20">
        <v>7.6394194041251237E-4</v>
      </c>
      <c r="D28" s="118">
        <v>1</v>
      </c>
      <c r="E28" s="118">
        <v>0.2360466134384174</v>
      </c>
      <c r="F28" s="148">
        <v>-1</v>
      </c>
      <c r="G28" s="119" t="b">
        <v>0</v>
      </c>
      <c r="H28" s="153"/>
      <c r="I28" t="s">
        <v>58</v>
      </c>
      <c r="J28" s="137"/>
      <c r="K28" s="137"/>
      <c r="L28" s="137"/>
      <c r="M28" s="137"/>
      <c r="N28" s="137"/>
    </row>
    <row r="29" spans="1:14">
      <c r="A29" s="21">
        <v>43077</v>
      </c>
      <c r="B29" s="22">
        <v>26.454999999999998</v>
      </c>
      <c r="C29" s="20">
        <v>9.7328244274808781E-3</v>
      </c>
      <c r="D29" s="118">
        <v>1</v>
      </c>
      <c r="E29" s="118">
        <v>0.22235191537539459</v>
      </c>
      <c r="F29" s="148">
        <v>-1</v>
      </c>
      <c r="G29" s="119" t="b">
        <v>0</v>
      </c>
      <c r="H29" s="153"/>
      <c r="J29" s="137"/>
      <c r="K29" s="137"/>
      <c r="L29" s="137"/>
      <c r="M29" s="137"/>
      <c r="N29" s="137"/>
    </row>
    <row r="30" spans="1:14">
      <c r="A30" s="21">
        <v>43080</v>
      </c>
      <c r="B30" s="22">
        <v>26.79</v>
      </c>
      <c r="C30" s="20">
        <v>1.2663012663012696E-2</v>
      </c>
      <c r="D30" s="118">
        <v>1</v>
      </c>
      <c r="E30" s="118">
        <v>0.20913263980573688</v>
      </c>
      <c r="F30" s="148">
        <v>-1</v>
      </c>
      <c r="G30" s="119" t="b">
        <v>0</v>
      </c>
      <c r="H30" s="153"/>
      <c r="J30" s="137"/>
      <c r="K30" s="137"/>
      <c r="L30" s="137"/>
      <c r="M30" s="137"/>
      <c r="N30" s="137"/>
    </row>
    <row r="31" spans="1:14">
      <c r="A31" s="21">
        <v>43081</v>
      </c>
      <c r="B31" s="22">
        <v>26.97</v>
      </c>
      <c r="C31" s="20">
        <v>6.7189249720044685E-3</v>
      </c>
      <c r="D31" s="118">
        <v>1</v>
      </c>
      <c r="E31" s="118">
        <v>0.19640021549167755</v>
      </c>
      <c r="F31" s="148">
        <v>-1</v>
      </c>
      <c r="G31" s="119" t="b">
        <v>0</v>
      </c>
      <c r="H31" s="153"/>
      <c r="J31" s="137"/>
      <c r="K31" s="137"/>
      <c r="L31" s="137"/>
      <c r="M31" s="137"/>
      <c r="N31" s="137"/>
    </row>
    <row r="32" spans="1:14">
      <c r="A32" s="21">
        <v>43082</v>
      </c>
      <c r="B32" s="22">
        <v>26.86</v>
      </c>
      <c r="C32" s="20">
        <v>-4.0786058583611208E-3</v>
      </c>
      <c r="D32" s="118">
        <v>0</v>
      </c>
      <c r="E32" s="118">
        <v>0.18416361647444204</v>
      </c>
      <c r="F32" s="148">
        <v>-1</v>
      </c>
      <c r="G32" s="118" t="b">
        <v>1</v>
      </c>
      <c r="H32" s="153"/>
      <c r="J32" s="144" t="s">
        <v>50</v>
      </c>
      <c r="K32" s="144"/>
      <c r="L32" s="144"/>
      <c r="M32" s="144"/>
      <c r="N32" s="144"/>
    </row>
    <row r="33" spans="1:14">
      <c r="A33" s="21">
        <v>43083</v>
      </c>
      <c r="B33" s="22">
        <v>26.635000000000002</v>
      </c>
      <c r="C33" s="20">
        <v>-8.3767684288904645E-3</v>
      </c>
      <c r="D33" s="118">
        <v>0</v>
      </c>
      <c r="E33" s="118">
        <v>0.17242935562327302</v>
      </c>
      <c r="F33" s="148">
        <v>-1</v>
      </c>
      <c r="G33" s="118" t="b">
        <v>1</v>
      </c>
      <c r="H33" s="153"/>
      <c r="J33" s="145"/>
      <c r="K33" s="145"/>
      <c r="L33" s="145"/>
      <c r="M33" s="145"/>
      <c r="N33" s="145"/>
    </row>
    <row r="34" spans="1:14">
      <c r="A34" s="21">
        <v>43084</v>
      </c>
      <c r="B34" s="22">
        <v>26.13</v>
      </c>
      <c r="C34" s="20">
        <v>-1.8960015017833773E-2</v>
      </c>
      <c r="D34" s="118">
        <v>0</v>
      </c>
      <c r="E34" s="118">
        <v>0.16120150095971381</v>
      </c>
      <c r="F34" s="148">
        <v>-1</v>
      </c>
      <c r="G34" s="118" t="b">
        <v>1</v>
      </c>
      <c r="H34" s="153"/>
      <c r="J34" s="101" t="s">
        <v>48</v>
      </c>
      <c r="K34" s="92" t="s">
        <v>53</v>
      </c>
      <c r="L34" s="92">
        <v>1</v>
      </c>
      <c r="M34" s="92">
        <v>2</v>
      </c>
      <c r="N34" s="92">
        <v>3</v>
      </c>
    </row>
    <row r="35" spans="1:14">
      <c r="A35" s="21">
        <v>43087</v>
      </c>
      <c r="B35" s="22">
        <v>26.684999999999999</v>
      </c>
      <c r="C35" s="20">
        <v>2.1239954075774961E-2</v>
      </c>
      <c r="D35" s="118">
        <v>1</v>
      </c>
      <c r="E35" s="118">
        <v>0.15048171518777598</v>
      </c>
      <c r="F35" s="148">
        <v>-1</v>
      </c>
      <c r="G35" s="119" t="b">
        <v>0</v>
      </c>
      <c r="H35" s="153"/>
      <c r="J35" s="93"/>
      <c r="K35" s="94"/>
      <c r="L35" s="89">
        <v>-18.041551356302563</v>
      </c>
      <c r="M35" s="89">
        <v>-17.374621723759702</v>
      </c>
      <c r="N35" s="89">
        <v>-17.498887830475507</v>
      </c>
    </row>
    <row r="36" spans="1:14">
      <c r="A36" s="21">
        <v>43088</v>
      </c>
      <c r="B36" s="22">
        <v>26.85</v>
      </c>
      <c r="C36" s="20">
        <v>6.1832490163013943E-3</v>
      </c>
      <c r="D36" s="118">
        <v>1</v>
      </c>
      <c r="E36" s="118">
        <v>0.14026931840465115</v>
      </c>
      <c r="F36" s="148">
        <v>-1</v>
      </c>
      <c r="G36" s="119" t="b">
        <v>0</v>
      </c>
      <c r="H36" s="153"/>
      <c r="J36" s="93"/>
      <c r="K36" s="94"/>
      <c r="L36" s="95"/>
      <c r="M36" s="95"/>
      <c r="N36" s="96"/>
    </row>
    <row r="37" spans="1:14">
      <c r="A37" s="21">
        <v>43089</v>
      </c>
      <c r="B37" s="22">
        <v>26.975000000000001</v>
      </c>
      <c r="C37" s="20">
        <v>4.6554934823091242E-3</v>
      </c>
      <c r="D37" s="118">
        <v>1</v>
      </c>
      <c r="E37" s="118">
        <v>0.13056137346489682</v>
      </c>
      <c r="F37" s="148">
        <v>-1</v>
      </c>
      <c r="G37" s="119" t="b">
        <v>0</v>
      </c>
      <c r="H37" s="153"/>
      <c r="J37" s="97"/>
      <c r="K37" s="98"/>
      <c r="L37" s="99"/>
      <c r="M37" s="99"/>
      <c r="N37" s="100"/>
    </row>
    <row r="38" spans="1:14">
      <c r="A38" s="21">
        <v>43090</v>
      </c>
      <c r="B38" s="22">
        <v>27.515000000000001</v>
      </c>
      <c r="C38" s="20">
        <v>2.001853568118625E-2</v>
      </c>
      <c r="D38" s="118">
        <v>1</v>
      </c>
      <c r="E38" s="118">
        <v>0.12135279294416124</v>
      </c>
      <c r="F38" s="148">
        <v>-1</v>
      </c>
      <c r="G38" s="119" t="b">
        <v>0</v>
      </c>
      <c r="H38" s="153"/>
      <c r="J38" s="137"/>
      <c r="K38" s="137"/>
      <c r="L38" s="137"/>
      <c r="M38" s="137"/>
      <c r="N38" s="137"/>
    </row>
    <row r="39" spans="1:14">
      <c r="A39" s="21">
        <v>43091</v>
      </c>
      <c r="B39" s="22">
        <v>27.47</v>
      </c>
      <c r="C39" s="20">
        <v>-1.6354715609668074E-3</v>
      </c>
      <c r="D39" s="118">
        <v>0</v>
      </c>
      <c r="E39" s="118">
        <v>0.11263646612085521</v>
      </c>
      <c r="F39" s="148">
        <v>-1</v>
      </c>
      <c r="G39" s="118" t="b">
        <v>1</v>
      </c>
      <c r="H39" s="153"/>
      <c r="J39" s="137"/>
      <c r="K39" s="137"/>
      <c r="L39" s="137"/>
      <c r="M39" s="137"/>
      <c r="N39" s="137"/>
    </row>
    <row r="40" spans="1:14">
      <c r="A40" s="21">
        <v>43096</v>
      </c>
      <c r="B40" s="22">
        <v>27.57</v>
      </c>
      <c r="C40" s="20">
        <v>3.6403349108118464E-3</v>
      </c>
      <c r="D40" s="118">
        <v>1</v>
      </c>
      <c r="E40" s="118">
        <v>0.10440340389217166</v>
      </c>
      <c r="F40" s="148">
        <v>-1</v>
      </c>
      <c r="G40" s="119" t="b">
        <v>0</v>
      </c>
      <c r="H40" s="153"/>
      <c r="J40" s="140" t="s">
        <v>51</v>
      </c>
      <c r="K40" s="141"/>
      <c r="L40" s="141"/>
      <c r="M40" s="141"/>
      <c r="N40" s="142"/>
    </row>
    <row r="41" spans="1:14">
      <c r="A41" s="21">
        <v>43097</v>
      </c>
      <c r="B41" s="22">
        <v>27.25</v>
      </c>
      <c r="C41" s="20">
        <v>-1.1606819006166133E-2</v>
      </c>
      <c r="D41" s="118">
        <v>0</v>
      </c>
      <c r="E41" s="118">
        <v>9.6642899090978812E-2</v>
      </c>
      <c r="F41" s="148">
        <v>-1</v>
      </c>
      <c r="G41" s="118" t="b">
        <v>1</v>
      </c>
      <c r="H41" s="153"/>
      <c r="J41" s="143"/>
      <c r="K41" s="143"/>
      <c r="L41" s="143"/>
      <c r="M41" s="143"/>
      <c r="N41" s="143"/>
    </row>
    <row r="42" spans="1:14">
      <c r="A42" s="21">
        <v>43098</v>
      </c>
      <c r="B42" s="22">
        <v>27.114999999999998</v>
      </c>
      <c r="C42" s="20">
        <v>-4.9541284403670297E-3</v>
      </c>
      <c r="D42" s="118">
        <v>0</v>
      </c>
      <c r="E42" s="118">
        <v>8.9342699296754743E-2</v>
      </c>
      <c r="F42" s="148">
        <v>-1</v>
      </c>
      <c r="G42" s="118" t="b">
        <v>1</v>
      </c>
      <c r="H42" s="153"/>
      <c r="J42" s="139"/>
      <c r="K42" s="91" t="s">
        <v>45</v>
      </c>
      <c r="L42" s="91">
        <v>1</v>
      </c>
      <c r="M42" s="91">
        <v>2</v>
      </c>
      <c r="N42" s="91">
        <v>3</v>
      </c>
    </row>
    <row r="43" spans="1:14">
      <c r="A43" s="21">
        <v>43102</v>
      </c>
      <c r="B43" s="22">
        <v>28.024999999999999</v>
      </c>
      <c r="C43" s="20">
        <v>3.3560759727088336E-2</v>
      </c>
      <c r="D43" s="118">
        <v>1</v>
      </c>
      <c r="E43" s="118">
        <v>8.2489188957117848E-2</v>
      </c>
      <c r="F43" s="148">
        <v>-1</v>
      </c>
      <c r="G43" s="119" t="b">
        <v>0</v>
      </c>
      <c r="H43" s="153"/>
      <c r="J43" s="139"/>
      <c r="K43" s="91">
        <v>1</v>
      </c>
      <c r="L43" s="89">
        <v>-4.118454598940985E-3</v>
      </c>
      <c r="M43" s="89">
        <v>0.50068979312898354</v>
      </c>
      <c r="N43" s="89">
        <v>0.99787810411496047</v>
      </c>
    </row>
    <row r="44" spans="1:14">
      <c r="A44" s="21">
        <v>43103</v>
      </c>
      <c r="B44" s="22">
        <v>28.76</v>
      </c>
      <c r="C44" s="20">
        <v>2.6226583407671828E-2</v>
      </c>
      <c r="D44" s="118">
        <v>1</v>
      </c>
      <c r="E44" s="118">
        <v>7.6067577470999306E-2</v>
      </c>
      <c r="F44" s="148">
        <v>-1</v>
      </c>
      <c r="G44" s="119" t="b">
        <v>0</v>
      </c>
      <c r="H44" s="153"/>
      <c r="J44" s="139"/>
      <c r="K44" s="91">
        <v>2</v>
      </c>
      <c r="L44" s="89">
        <v>1.7681728880157841E-3</v>
      </c>
      <c r="M44" s="89">
        <v>0.49944599045990151</v>
      </c>
      <c r="N44" s="89">
        <v>0.99689989827503445</v>
      </c>
    </row>
    <row r="45" spans="1:14">
      <c r="A45" s="21">
        <v>43104</v>
      </c>
      <c r="B45" s="22">
        <v>28.675000000000001</v>
      </c>
      <c r="C45" s="20">
        <v>-2.9554937413074009E-3</v>
      </c>
      <c r="D45" s="118">
        <v>0</v>
      </c>
      <c r="E45" s="118">
        <v>7.0062089837432423E-2</v>
      </c>
      <c r="F45" s="148">
        <v>-1</v>
      </c>
      <c r="G45" s="118" t="b">
        <v>1</v>
      </c>
      <c r="H45" s="153"/>
      <c r="J45" s="139"/>
      <c r="K45" s="91">
        <v>3</v>
      </c>
      <c r="L45" s="89">
        <v>5.5314105096799914E-3</v>
      </c>
      <c r="M45" s="89">
        <v>0.50007474048126854</v>
      </c>
      <c r="N45" s="89">
        <v>0.99661409996327821</v>
      </c>
    </row>
    <row r="46" spans="1:14">
      <c r="A46" s="21">
        <v>43105</v>
      </c>
      <c r="B46" s="22">
        <v>28.414999999999999</v>
      </c>
      <c r="C46" s="20">
        <v>-9.0671316477768625E-3</v>
      </c>
      <c r="D46" s="118">
        <v>0</v>
      </c>
      <c r="E46" s="118">
        <v>6.4456156545144791E-2</v>
      </c>
      <c r="F46" s="148">
        <v>-1</v>
      </c>
      <c r="G46" s="118" t="b">
        <v>1</v>
      </c>
      <c r="H46" s="153"/>
      <c r="J46" s="137"/>
      <c r="K46" s="137"/>
      <c r="L46" s="137"/>
      <c r="M46" s="137"/>
      <c r="N46" s="137"/>
    </row>
    <row r="47" spans="1:14">
      <c r="A47" s="21">
        <v>43108</v>
      </c>
      <c r="B47" s="22">
        <v>29.2</v>
      </c>
      <c r="C47" s="20">
        <v>2.7626253739222249E-2</v>
      </c>
      <c r="D47" s="118">
        <v>1</v>
      </c>
      <c r="E47" s="118">
        <v>5.9232599560207183E-2</v>
      </c>
      <c r="F47" s="148">
        <v>-1</v>
      </c>
      <c r="G47" s="119" t="b">
        <v>0</v>
      </c>
      <c r="H47" s="153"/>
      <c r="J47" s="137"/>
      <c r="K47" s="137"/>
      <c r="L47" s="137"/>
      <c r="M47" s="137"/>
      <c r="N47" s="137"/>
    </row>
    <row r="48" spans="1:14">
      <c r="A48" s="21">
        <v>43109</v>
      </c>
      <c r="B48" s="22">
        <v>29.75</v>
      </c>
      <c r="C48" s="20">
        <v>1.8835616438356188E-2</v>
      </c>
      <c r="D48" s="118">
        <v>1</v>
      </c>
      <c r="E48" s="118">
        <v>5.4373811548166374E-2</v>
      </c>
      <c r="F48" s="148">
        <v>-1</v>
      </c>
      <c r="G48" s="119" t="b">
        <v>0</v>
      </c>
      <c r="H48" s="153"/>
      <c r="J48" s="137"/>
      <c r="K48" s="137"/>
      <c r="L48" s="137"/>
      <c r="M48" s="137"/>
      <c r="N48" s="137"/>
    </row>
    <row r="49" spans="1:14">
      <c r="A49" s="21">
        <v>43110</v>
      </c>
      <c r="B49" s="22">
        <v>29.83</v>
      </c>
      <c r="C49" s="20">
        <v>2.6890756302520437E-3</v>
      </c>
      <c r="D49" s="118">
        <v>1</v>
      </c>
      <c r="E49" s="118">
        <v>4.9861925824680804E-2</v>
      </c>
      <c r="F49" s="148">
        <v>-1</v>
      </c>
      <c r="G49" s="119" t="b">
        <v>0</v>
      </c>
      <c r="H49" s="153"/>
      <c r="J49" s="140" t="s">
        <v>52</v>
      </c>
      <c r="K49" s="141"/>
      <c r="L49" s="141"/>
      <c r="M49" s="141"/>
      <c r="N49" s="142"/>
    </row>
    <row r="50" spans="1:14">
      <c r="A50" s="21">
        <v>43111</v>
      </c>
      <c r="B50" s="22">
        <v>30.16</v>
      </c>
      <c r="C50" s="20">
        <v>1.1062688568555209E-2</v>
      </c>
      <c r="D50" s="118">
        <v>1</v>
      </c>
      <c r="E50" s="118">
        <v>4.5678974942854424E-2</v>
      </c>
      <c r="F50" s="148">
        <v>-1</v>
      </c>
      <c r="G50" s="119" t="b">
        <v>0</v>
      </c>
      <c r="H50" s="153"/>
      <c r="J50" s="143"/>
      <c r="K50" s="143"/>
      <c r="L50" s="143"/>
      <c r="M50" s="143"/>
      <c r="N50" s="143"/>
    </row>
    <row r="51" spans="1:14">
      <c r="A51" s="21">
        <v>43112</v>
      </c>
      <c r="B51" s="22">
        <v>30.63</v>
      </c>
      <c r="C51" s="20">
        <v>1.5583554376657788E-2</v>
      </c>
      <c r="D51" s="118">
        <v>1</v>
      </c>
      <c r="E51" s="118">
        <v>4.1807036273088356E-2</v>
      </c>
      <c r="F51" s="148">
        <v>-1</v>
      </c>
      <c r="G51" s="119" t="b">
        <v>0</v>
      </c>
      <c r="H51" s="153"/>
      <c r="J51" s="139"/>
      <c r="K51" s="91" t="s">
        <v>60</v>
      </c>
      <c r="L51" s="91">
        <v>1</v>
      </c>
      <c r="M51" s="91">
        <v>2</v>
      </c>
      <c r="N51" s="91" t="s">
        <v>61</v>
      </c>
    </row>
    <row r="52" spans="1:14">
      <c r="A52" s="21">
        <v>43115</v>
      </c>
      <c r="B52" s="22">
        <v>30.52</v>
      </c>
      <c r="C52" s="20">
        <v>-3.5912504080966188E-3</v>
      </c>
      <c r="D52" s="118">
        <v>0</v>
      </c>
      <c r="E52" s="118">
        <v>3.8228363389687346E-2</v>
      </c>
      <c r="F52" s="148">
        <v>-1</v>
      </c>
      <c r="G52" s="118" t="b">
        <v>1</v>
      </c>
      <c r="H52" s="153"/>
      <c r="J52" s="139"/>
      <c r="K52" s="91">
        <v>1</v>
      </c>
      <c r="L52" s="89">
        <v>-5.2108033385275178E-2</v>
      </c>
      <c r="M52" s="89">
        <v>-1.628537412937598E-2</v>
      </c>
      <c r="N52" s="89">
        <v>0.14535061577800651</v>
      </c>
    </row>
    <row r="53" spans="1:14">
      <c r="A53" s="21">
        <v>43116</v>
      </c>
      <c r="B53" s="22">
        <v>30.155000000000001</v>
      </c>
      <c r="C53" s="20">
        <v>-1.1959370904324982E-2</v>
      </c>
      <c r="D53" s="118">
        <v>0</v>
      </c>
      <c r="E53" s="118">
        <v>3.4925502526995118E-2</v>
      </c>
      <c r="F53" s="148">
        <v>-1</v>
      </c>
      <c r="G53" s="118" t="b">
        <v>1</v>
      </c>
      <c r="H53" s="153"/>
      <c r="J53" s="139"/>
      <c r="K53" s="91">
        <v>2</v>
      </c>
      <c r="L53" s="89">
        <v>-6.5416684675956988E-2</v>
      </c>
      <c r="M53" s="89">
        <v>-2.3769698485879773E-2</v>
      </c>
      <c r="N53" s="89">
        <v>0.14535061577800651</v>
      </c>
    </row>
    <row r="54" spans="1:14">
      <c r="A54" s="21">
        <v>43117</v>
      </c>
      <c r="B54" s="22">
        <v>29.774999999999999</v>
      </c>
      <c r="C54" s="20">
        <v>-1.2601558613828636E-2</v>
      </c>
      <c r="D54" s="118">
        <v>0</v>
      </c>
      <c r="E54" s="118">
        <v>3.1881393788942662E-2</v>
      </c>
      <c r="F54" s="148">
        <v>-1</v>
      </c>
      <c r="G54" s="118" t="b">
        <v>1</v>
      </c>
      <c r="H54" s="153"/>
      <c r="J54" s="139"/>
      <c r="K54" s="91">
        <v>3</v>
      </c>
      <c r="L54" s="89">
        <v>-7.4952594046589785E-2</v>
      </c>
      <c r="M54" s="89">
        <v>-2.5953583790549763E-2</v>
      </c>
      <c r="N54" s="89">
        <v>0.14535061577800651</v>
      </c>
    </row>
    <row r="55" spans="1:14">
      <c r="A55" s="21">
        <v>43118</v>
      </c>
      <c r="B55" s="22">
        <v>29.86</v>
      </c>
      <c r="C55" s="20">
        <v>2.8547439126784505E-3</v>
      </c>
      <c r="D55" s="118">
        <v>1</v>
      </c>
      <c r="E55" s="118">
        <v>2.9079457175850591E-2</v>
      </c>
      <c r="F55" s="148">
        <v>-1</v>
      </c>
      <c r="G55" s="119" t="b">
        <v>0</v>
      </c>
      <c r="H55" s="153"/>
      <c r="J55" s="137"/>
      <c r="K55" s="137"/>
      <c r="L55" s="137"/>
      <c r="M55" s="137"/>
      <c r="N55" s="137"/>
    </row>
    <row r="56" spans="1:14">
      <c r="A56" s="21">
        <v>43119</v>
      </c>
      <c r="B56" s="22">
        <v>30.1</v>
      </c>
      <c r="C56" s="20">
        <v>8.0375083724046215E-3</v>
      </c>
      <c r="D56" s="118">
        <v>1</v>
      </c>
      <c r="E56" s="118">
        <v>2.6503663821539025E-2</v>
      </c>
      <c r="F56" s="148">
        <v>-1</v>
      </c>
      <c r="G56" s="119" t="b">
        <v>0</v>
      </c>
      <c r="H56" s="153"/>
      <c r="J56" s="137"/>
      <c r="K56" s="137"/>
      <c r="L56" s="137"/>
      <c r="M56" s="137"/>
      <c r="N56" s="137"/>
    </row>
    <row r="57" spans="1:14">
      <c r="A57" s="21">
        <v>43122</v>
      </c>
      <c r="B57" s="22">
        <v>29.96</v>
      </c>
      <c r="C57" s="20">
        <v>-4.6511627906976934E-3</v>
      </c>
      <c r="D57" s="118">
        <v>0</v>
      </c>
      <c r="E57" s="118">
        <v>2.4138593106707185E-2</v>
      </c>
      <c r="F57" s="148">
        <v>-1</v>
      </c>
      <c r="G57" s="118" t="b">
        <v>1</v>
      </c>
      <c r="H57" s="153"/>
    </row>
    <row r="58" spans="1:14">
      <c r="A58" s="21">
        <v>43123</v>
      </c>
      <c r="B58" s="22">
        <v>29.28</v>
      </c>
      <c r="C58" s="20">
        <v>-2.2696929238985305E-2</v>
      </c>
      <c r="D58" s="118">
        <v>0</v>
      </c>
      <c r="E58" s="118">
        <v>2.1969476529278498E-2</v>
      </c>
      <c r="F58" s="148">
        <v>-1</v>
      </c>
      <c r="G58" s="118" t="b">
        <v>1</v>
      </c>
      <c r="H58" s="153"/>
    </row>
    <row r="59" spans="1:14">
      <c r="A59" s="21">
        <v>43124</v>
      </c>
      <c r="B59" s="22">
        <v>29.21</v>
      </c>
      <c r="C59" s="20">
        <v>-2.3907103825136708E-3</v>
      </c>
      <c r="D59" s="118">
        <v>0</v>
      </c>
      <c r="E59" s="118">
        <v>1.9982229370203632E-2</v>
      </c>
      <c r="F59" s="148">
        <v>-1</v>
      </c>
      <c r="G59" s="118" t="b">
        <v>1</v>
      </c>
      <c r="H59" s="153"/>
    </row>
    <row r="60" spans="1:14">
      <c r="A60" s="21">
        <v>43125</v>
      </c>
      <c r="B60" s="22">
        <v>29.7</v>
      </c>
      <c r="C60" s="20">
        <v>1.6775077028414874E-2</v>
      </c>
      <c r="D60" s="118">
        <v>1</v>
      </c>
      <c r="E60" s="118">
        <v>1.8163471297754512E-2</v>
      </c>
      <c r="F60" s="148">
        <v>-1</v>
      </c>
      <c r="G60" s="119" t="b">
        <v>0</v>
      </c>
      <c r="H60" s="153"/>
    </row>
    <row r="61" spans="1:14">
      <c r="A61" s="21">
        <v>43126</v>
      </c>
      <c r="B61" s="22">
        <v>29.975000000000001</v>
      </c>
      <c r="C61" s="20">
        <v>9.2592592592593316E-3</v>
      </c>
      <c r="D61" s="118">
        <v>1</v>
      </c>
      <c r="E61" s="118">
        <v>1.6500537110058899E-2</v>
      </c>
      <c r="F61" s="148">
        <v>-1</v>
      </c>
      <c r="G61" s="119" t="b">
        <v>0</v>
      </c>
      <c r="H61" s="153"/>
    </row>
    <row r="62" spans="1:14">
      <c r="A62" s="21">
        <v>43129</v>
      </c>
      <c r="B62" s="22">
        <v>30.17</v>
      </c>
      <c r="C62" s="20">
        <v>6.505421184320276E-3</v>
      </c>
      <c r="D62" s="118">
        <v>1</v>
      </c>
      <c r="E62" s="118">
        <v>1.4981478831027299E-2</v>
      </c>
      <c r="F62" s="148">
        <v>-1</v>
      </c>
      <c r="G62" s="119" t="b">
        <v>0</v>
      </c>
      <c r="H62" s="153"/>
    </row>
    <row r="63" spans="1:14">
      <c r="A63" s="21">
        <v>43130</v>
      </c>
      <c r="B63" s="22">
        <v>29.57</v>
      </c>
      <c r="C63" s="20">
        <v>-1.9887305270135942E-2</v>
      </c>
      <c r="D63" s="118">
        <v>0</v>
      </c>
      <c r="E63" s="118">
        <v>1.3595060355931655E-2</v>
      </c>
      <c r="F63" s="148">
        <v>-1</v>
      </c>
      <c r="G63" s="118" t="b">
        <v>1</v>
      </c>
      <c r="H63" s="153"/>
    </row>
    <row r="64" spans="1:14">
      <c r="A64" s="21">
        <v>43131</v>
      </c>
      <c r="B64" s="22">
        <v>29.225000000000001</v>
      </c>
      <c r="C64" s="20">
        <v>-1.1667230300980685E-2</v>
      </c>
      <c r="D64" s="118">
        <v>0</v>
      </c>
      <c r="E64" s="118">
        <v>1.233074579674627E-2</v>
      </c>
      <c r="F64" s="148">
        <v>-1</v>
      </c>
      <c r="G64" s="118" t="b">
        <v>1</v>
      </c>
      <c r="H64" s="153"/>
    </row>
    <row r="65" spans="1:8">
      <c r="A65" s="21">
        <v>43132</v>
      </c>
      <c r="B65" s="22">
        <v>28.925000000000001</v>
      </c>
      <c r="C65" s="20">
        <v>-1.0265183917878553E-2</v>
      </c>
      <c r="D65" s="118">
        <v>0</v>
      </c>
      <c r="E65" s="118">
        <v>1.1178682610659171E-2</v>
      </c>
      <c r="F65" s="148">
        <v>-1</v>
      </c>
      <c r="G65" s="118" t="b">
        <v>1</v>
      </c>
      <c r="H65" s="153"/>
    </row>
    <row r="66" spans="1:8">
      <c r="A66" s="21">
        <v>43133</v>
      </c>
      <c r="B66" s="22">
        <v>27.8</v>
      </c>
      <c r="C66" s="20">
        <v>-3.8893690579083838E-2</v>
      </c>
      <c r="D66" s="118">
        <v>0</v>
      </c>
      <c r="E66" s="118">
        <v>1.0129680514011207E-2</v>
      </c>
      <c r="F66" s="148">
        <v>-1</v>
      </c>
      <c r="G66" s="118" t="b">
        <v>1</v>
      </c>
      <c r="H66" s="153"/>
    </row>
    <row r="67" spans="1:8">
      <c r="A67" s="21">
        <v>43136</v>
      </c>
      <c r="B67" s="22">
        <v>28.105</v>
      </c>
      <c r="C67" s="20">
        <v>1.0971223021582724E-2</v>
      </c>
      <c r="D67" s="118">
        <v>1</v>
      </c>
      <c r="E67" s="118">
        <v>9.1751870936750361E-3</v>
      </c>
      <c r="F67" s="148">
        <v>-1</v>
      </c>
      <c r="G67" s="119" t="b">
        <v>0</v>
      </c>
      <c r="H67" s="153"/>
    </row>
    <row r="68" spans="1:8">
      <c r="A68" s="21">
        <v>43137</v>
      </c>
      <c r="B68" s="22">
        <v>27.09</v>
      </c>
      <c r="C68" s="20">
        <v>-3.6114570361145723E-2</v>
      </c>
      <c r="D68" s="118">
        <v>0</v>
      </c>
      <c r="E68" s="118">
        <v>8.3072609330775184E-3</v>
      </c>
      <c r="F68" s="148">
        <v>-1</v>
      </c>
      <c r="G68" s="118" t="b">
        <v>1</v>
      </c>
      <c r="H68" s="153"/>
    </row>
    <row r="69" spans="1:8">
      <c r="A69" s="21">
        <v>43138</v>
      </c>
      <c r="B69" s="22">
        <v>27.71</v>
      </c>
      <c r="C69" s="20">
        <v>2.2886674049464786E-2</v>
      </c>
      <c r="D69" s="118">
        <v>1</v>
      </c>
      <c r="E69" s="118">
        <v>7.5185429743907595E-3</v>
      </c>
      <c r="F69" s="148">
        <v>-1</v>
      </c>
      <c r="G69" s="119" t="b">
        <v>0</v>
      </c>
      <c r="H69" s="153"/>
    </row>
    <row r="70" spans="1:8">
      <c r="A70" s="21">
        <v>43139</v>
      </c>
      <c r="B70" s="22">
        <v>26.61</v>
      </c>
      <c r="C70" s="20">
        <v>-3.9696860339227764E-2</v>
      </c>
      <c r="D70" s="118">
        <v>0</v>
      </c>
      <c r="E70" s="118">
        <v>6.8022267447692408E-3</v>
      </c>
      <c r="F70" s="148">
        <v>-1</v>
      </c>
      <c r="G70" s="118" t="b">
        <v>1</v>
      </c>
      <c r="H70" s="153"/>
    </row>
    <row r="71" spans="1:8">
      <c r="A71" s="21">
        <v>43140</v>
      </c>
      <c r="B71" s="22">
        <v>26.285</v>
      </c>
      <c r="C71" s="20">
        <v>-1.2213453588876336E-2</v>
      </c>
      <c r="D71" s="118">
        <v>0</v>
      </c>
      <c r="E71" s="118">
        <v>6.1520279850660808E-3</v>
      </c>
      <c r="F71" s="148">
        <v>-1</v>
      </c>
      <c r="G71" s="118" t="b">
        <v>1</v>
      </c>
      <c r="H71" s="153"/>
    </row>
    <row r="72" spans="1:8">
      <c r="A72" s="21">
        <v>43143</v>
      </c>
      <c r="B72" s="22">
        <v>26.79</v>
      </c>
      <c r="C72" s="20">
        <v>1.9212478599961919E-2</v>
      </c>
      <c r="D72" s="118">
        <v>1</v>
      </c>
      <c r="E72" s="118">
        <v>5.5621541357559132E-3</v>
      </c>
      <c r="F72" s="148">
        <v>-1</v>
      </c>
      <c r="G72" s="119" t="b">
        <v>0</v>
      </c>
      <c r="H72" s="153"/>
    </row>
    <row r="73" spans="1:8">
      <c r="A73" s="21">
        <v>43144</v>
      </c>
      <c r="B73" s="22">
        <v>27.37</v>
      </c>
      <c r="C73" s="20">
        <v>2.1649869354236725E-2</v>
      </c>
      <c r="D73" s="118">
        <v>1</v>
      </c>
      <c r="E73" s="118">
        <v>5.0272740578181973E-3</v>
      </c>
      <c r="F73" s="148">
        <v>-1</v>
      </c>
      <c r="G73" s="119" t="b">
        <v>0</v>
      </c>
      <c r="H73" s="153"/>
    </row>
    <row r="74" spans="1:8">
      <c r="A74" s="21">
        <v>43145</v>
      </c>
      <c r="B74" s="22">
        <v>27.86</v>
      </c>
      <c r="C74" s="20">
        <v>1.790281329923268E-2</v>
      </c>
      <c r="D74" s="118">
        <v>1</v>
      </c>
      <c r="E74" s="118">
        <v>4.5424882966413884E-3</v>
      </c>
      <c r="F74" s="148">
        <v>-1</v>
      </c>
      <c r="G74" s="119" t="b">
        <v>0</v>
      </c>
      <c r="H74" s="153"/>
    </row>
    <row r="75" spans="1:8">
      <c r="A75" s="21">
        <v>43146</v>
      </c>
      <c r="B75" s="22">
        <v>28.22</v>
      </c>
      <c r="C75" s="20">
        <v>1.2921751615218932E-2</v>
      </c>
      <c r="D75" s="118">
        <v>1</v>
      </c>
      <c r="E75" s="118">
        <v>4.1033001347878344E-3</v>
      </c>
      <c r="F75" s="148">
        <v>-1</v>
      </c>
      <c r="G75" s="119" t="b">
        <v>0</v>
      </c>
      <c r="H75" s="153"/>
    </row>
    <row r="76" spans="1:8">
      <c r="A76" s="21">
        <v>43147</v>
      </c>
      <c r="B76" s="22">
        <v>28.434999999999999</v>
      </c>
      <c r="C76" s="20">
        <v>7.6187101346562678E-3</v>
      </c>
      <c r="D76" s="118">
        <v>1</v>
      </c>
      <c r="E76" s="118">
        <v>3.7055876246324653E-3</v>
      </c>
      <c r="F76" s="148">
        <v>-1</v>
      </c>
      <c r="G76" s="119" t="b">
        <v>0</v>
      </c>
      <c r="H76" s="153"/>
    </row>
    <row r="77" spans="1:8">
      <c r="A77" s="21">
        <v>43150</v>
      </c>
      <c r="B77" s="22">
        <v>28.795000000000002</v>
      </c>
      <c r="C77" s="20">
        <v>1.2660453666256479E-2</v>
      </c>
      <c r="D77" s="118">
        <v>1</v>
      </c>
      <c r="E77" s="118">
        <v>3.3455767441754581E-3</v>
      </c>
      <c r="F77" s="148">
        <v>-1</v>
      </c>
      <c r="G77" s="119" t="b">
        <v>0</v>
      </c>
      <c r="H77" s="153"/>
    </row>
    <row r="78" spans="1:8">
      <c r="A78" s="21">
        <v>43151</v>
      </c>
      <c r="B78" s="22">
        <v>28.835000000000001</v>
      </c>
      <c r="C78" s="20">
        <v>1.3891300573015853E-3</v>
      </c>
      <c r="D78" s="118">
        <v>1</v>
      </c>
      <c r="E78" s="118">
        <v>3.0198157783100786E-3</v>
      </c>
      <c r="F78" s="148">
        <v>-1</v>
      </c>
      <c r="G78" s="119" t="b">
        <v>0</v>
      </c>
      <c r="H78" s="153"/>
    </row>
    <row r="79" spans="1:8">
      <c r="A79" s="21">
        <v>43152</v>
      </c>
      <c r="B79" s="22">
        <v>28.6</v>
      </c>
      <c r="C79" s="20">
        <v>-8.1498179295994254E-3</v>
      </c>
      <c r="D79" s="118">
        <v>0</v>
      </c>
      <c r="E79" s="118">
        <v>2.7251509929923771E-3</v>
      </c>
      <c r="F79" s="148">
        <v>-1</v>
      </c>
      <c r="G79" s="118" t="b">
        <v>1</v>
      </c>
      <c r="H79" s="153"/>
    </row>
    <row r="80" spans="1:8">
      <c r="A80" s="21">
        <v>43153</v>
      </c>
      <c r="B80" s="22">
        <v>28.54</v>
      </c>
      <c r="C80" s="20">
        <v>-2.0979020979021773E-3</v>
      </c>
      <c r="D80" s="118">
        <v>0</v>
      </c>
      <c r="E80" s="118">
        <v>2.4587036405498983E-3</v>
      </c>
      <c r="F80" s="148">
        <v>-1</v>
      </c>
      <c r="G80" s="118" t="b">
        <v>1</v>
      </c>
      <c r="H80" s="153"/>
    </row>
    <row r="81" spans="1:8">
      <c r="A81" s="21">
        <v>43154</v>
      </c>
      <c r="B81" s="22">
        <v>28.19</v>
      </c>
      <c r="C81" s="20">
        <v>-1.226348983882263E-2</v>
      </c>
      <c r="D81" s="118">
        <v>0</v>
      </c>
      <c r="E81" s="118">
        <v>2.2178483102030361E-3</v>
      </c>
      <c r="F81" s="148">
        <v>-1</v>
      </c>
      <c r="G81" s="118" t="b">
        <v>1</v>
      </c>
      <c r="H81" s="153"/>
    </row>
    <row r="82" spans="1:8">
      <c r="A82" s="21">
        <v>43157</v>
      </c>
      <c r="B82" s="22">
        <v>28.55</v>
      </c>
      <c r="C82" s="20">
        <v>1.2770485987938965E-2</v>
      </c>
      <c r="D82" s="118">
        <v>1</v>
      </c>
      <c r="E82" s="118">
        <v>2.0001926181811682E-3</v>
      </c>
      <c r="F82" s="148">
        <v>-1</v>
      </c>
      <c r="G82" s="119" t="b">
        <v>0</v>
      </c>
      <c r="H82" s="153"/>
    </row>
    <row r="83" spans="1:8">
      <c r="A83" s="21">
        <v>43158</v>
      </c>
      <c r="B83" s="22">
        <v>28.72</v>
      </c>
      <c r="C83" s="20">
        <v>5.9544658493869756E-3</v>
      </c>
      <c r="D83" s="118">
        <v>1</v>
      </c>
      <c r="E83" s="118">
        <v>1.803558216042471E-3</v>
      </c>
      <c r="F83" s="148">
        <v>-1</v>
      </c>
      <c r="G83" s="119" t="b">
        <v>0</v>
      </c>
      <c r="H83" s="153"/>
    </row>
    <row r="84" spans="1:8">
      <c r="A84" s="21">
        <v>43159</v>
      </c>
      <c r="B84" s="22">
        <v>28.25</v>
      </c>
      <c r="C84" s="20">
        <v>-1.6364902506963749E-2</v>
      </c>
      <c r="D84" s="118">
        <v>0</v>
      </c>
      <c r="E84" s="118">
        <v>1.6259630834301231E-3</v>
      </c>
      <c r="F84" s="148">
        <v>-1</v>
      </c>
      <c r="G84" s="118" t="b">
        <v>1</v>
      </c>
      <c r="H84" s="153"/>
    </row>
    <row r="85" spans="1:8">
      <c r="A85" s="21">
        <v>43160</v>
      </c>
      <c r="B85" s="22">
        <v>27.715</v>
      </c>
      <c r="C85" s="20">
        <v>-1.8938053097345139E-2</v>
      </c>
      <c r="D85" s="118">
        <v>0</v>
      </c>
      <c r="E85" s="118">
        <v>1.4656050620364645E-3</v>
      </c>
      <c r="F85" s="148">
        <v>-1</v>
      </c>
      <c r="G85" s="118" t="b">
        <v>1</v>
      </c>
      <c r="H85" s="153"/>
    </row>
    <row r="86" spans="1:8">
      <c r="A86" s="21">
        <v>43161</v>
      </c>
      <c r="B86" s="22">
        <v>26.69</v>
      </c>
      <c r="C86" s="20">
        <v>-3.6983582897347954E-2</v>
      </c>
      <c r="D86" s="118">
        <v>0</v>
      </c>
      <c r="E86" s="118">
        <v>1.3208465805623398E-3</v>
      </c>
      <c r="F86" s="148">
        <v>-1</v>
      </c>
      <c r="G86" s="118" t="b">
        <v>1</v>
      </c>
      <c r="H86" s="153"/>
    </row>
    <row r="87" spans="1:8">
      <c r="A87" s="21">
        <v>43164</v>
      </c>
      <c r="B87" s="22">
        <v>26.48</v>
      </c>
      <c r="C87" s="20">
        <v>-7.8681153990258837E-3</v>
      </c>
      <c r="D87" s="118">
        <v>0</v>
      </c>
      <c r="E87" s="118">
        <v>1.1902005155568713E-3</v>
      </c>
      <c r="F87" s="148">
        <v>-1</v>
      </c>
      <c r="G87" s="118" t="b">
        <v>1</v>
      </c>
      <c r="H87" s="153"/>
    </row>
    <row r="88" spans="1:8">
      <c r="A88" s="21">
        <v>43165</v>
      </c>
      <c r="B88" s="22">
        <v>26.635000000000002</v>
      </c>
      <c r="C88" s="20">
        <v>5.853474320241735E-3</v>
      </c>
      <c r="D88" s="118">
        <v>1</v>
      </c>
      <c r="E88" s="118">
        <v>1.0723171298538648E-3</v>
      </c>
      <c r="F88" s="148">
        <v>-1</v>
      </c>
      <c r="G88" s="119" t="b">
        <v>0</v>
      </c>
      <c r="H88" s="153"/>
    </row>
    <row r="89" spans="1:8">
      <c r="A89" s="21">
        <v>43166</v>
      </c>
      <c r="B89" s="22">
        <v>26.925000000000001</v>
      </c>
      <c r="C89" s="20">
        <v>1.0887929416181684E-2</v>
      </c>
      <c r="D89" s="118">
        <v>1</v>
      </c>
      <c r="E89" s="118">
        <v>9.6597202857736221E-4</v>
      </c>
      <c r="F89" s="148">
        <v>-1</v>
      </c>
      <c r="G89" s="119" t="b">
        <v>0</v>
      </c>
      <c r="H89" s="153"/>
    </row>
    <row r="90" spans="1:8">
      <c r="A90" s="21">
        <v>43167</v>
      </c>
      <c r="B90" s="22">
        <v>26.56</v>
      </c>
      <c r="C90" s="20">
        <v>-1.3556174558960148E-2</v>
      </c>
      <c r="D90" s="118">
        <v>0</v>
      </c>
      <c r="E90" s="118">
        <v>8.7005507210295122E-4</v>
      </c>
      <c r="F90" s="148">
        <v>-1</v>
      </c>
      <c r="G90" s="118" t="b">
        <v>1</v>
      </c>
      <c r="H90" s="153"/>
    </row>
    <row r="91" spans="1:8">
      <c r="A91" s="21">
        <v>43168</v>
      </c>
      <c r="B91" s="22">
        <v>26.39</v>
      </c>
      <c r="C91" s="20">
        <v>-6.4006024096384846E-3</v>
      </c>
      <c r="D91" s="118">
        <v>0</v>
      </c>
      <c r="E91" s="118">
        <v>7.8356018570269377E-4</v>
      </c>
      <c r="F91" s="148">
        <v>-1</v>
      </c>
      <c r="G91" s="118" t="b">
        <v>1</v>
      </c>
      <c r="H91" s="153"/>
    </row>
    <row r="92" spans="1:8">
      <c r="A92" s="21">
        <v>43171</v>
      </c>
      <c r="B92" s="22">
        <v>26.204999999999998</v>
      </c>
      <c r="C92" s="20">
        <v>-7.0102311481622685E-3</v>
      </c>
      <c r="D92" s="118">
        <v>0</v>
      </c>
      <c r="E92" s="118">
        <v>7.0557600667231295E-4</v>
      </c>
      <c r="F92" s="148">
        <v>-1</v>
      </c>
      <c r="G92" s="118" t="b">
        <v>1</v>
      </c>
      <c r="H92" s="153"/>
    </row>
    <row r="93" spans="1:8">
      <c r="A93" s="21">
        <v>43172</v>
      </c>
      <c r="B93" s="22">
        <v>26.465</v>
      </c>
      <c r="C93" s="20">
        <v>9.9217706544553162E-3</v>
      </c>
      <c r="D93" s="118">
        <v>1</v>
      </c>
      <c r="E93" s="118">
        <v>6.3527731137232707E-4</v>
      </c>
      <c r="F93" s="148">
        <v>-1</v>
      </c>
      <c r="G93" s="119" t="b">
        <v>0</v>
      </c>
      <c r="H93" s="153"/>
    </row>
    <row r="94" spans="1:8">
      <c r="A94" s="21">
        <v>43173</v>
      </c>
      <c r="B94" s="22">
        <v>26.48</v>
      </c>
      <c r="C94" s="20">
        <v>5.6678632155679454E-4</v>
      </c>
      <c r="D94" s="118">
        <v>1</v>
      </c>
      <c r="E94" s="118">
        <v>5.7191716666909348E-4</v>
      </c>
      <c r="F94" s="148">
        <v>-1</v>
      </c>
      <c r="G94" s="119" t="b">
        <v>0</v>
      </c>
      <c r="H94" s="153"/>
    </row>
    <row r="95" spans="1:8">
      <c r="A95" s="21">
        <v>43174</v>
      </c>
      <c r="B95" s="22">
        <v>26.445</v>
      </c>
      <c r="C95" s="20">
        <v>-1.3217522658610324E-3</v>
      </c>
      <c r="D95" s="118">
        <v>0</v>
      </c>
      <c r="E95" s="118">
        <v>5.1481975261992376E-4</v>
      </c>
      <c r="F95" s="148">
        <v>-1</v>
      </c>
      <c r="G95" s="118" t="b">
        <v>1</v>
      </c>
      <c r="H95" s="153"/>
    </row>
    <row r="96" spans="1:8">
      <c r="A96" s="21">
        <v>43175</v>
      </c>
      <c r="B96" s="22">
        <v>26.645</v>
      </c>
      <c r="C96" s="20">
        <v>7.5628663263376554E-3</v>
      </c>
      <c r="D96" s="118">
        <v>1</v>
      </c>
      <c r="E96" s="118">
        <v>4.6337380581132923E-4</v>
      </c>
      <c r="F96" s="148">
        <v>-1</v>
      </c>
      <c r="G96" s="119" t="b">
        <v>0</v>
      </c>
      <c r="H96" s="153"/>
    </row>
    <row r="97" spans="1:8">
      <c r="A97" s="21">
        <v>43178</v>
      </c>
      <c r="B97" s="22">
        <v>25.765000000000001</v>
      </c>
      <c r="C97" s="20">
        <v>-3.3026834302871046E-2</v>
      </c>
      <c r="D97" s="118">
        <v>0</v>
      </c>
      <c r="E97" s="118">
        <v>4.1702663545167265E-4</v>
      </c>
      <c r="F97" s="148">
        <v>-1</v>
      </c>
      <c r="G97" s="118" t="b">
        <v>1</v>
      </c>
      <c r="H97" s="153"/>
    </row>
    <row r="98" spans="1:8">
      <c r="A98" s="21">
        <v>43179</v>
      </c>
      <c r="B98" s="22">
        <v>26.15</v>
      </c>
      <c r="C98" s="20">
        <v>1.4942751795070755E-2</v>
      </c>
      <c r="D98" s="118">
        <v>1</v>
      </c>
      <c r="E98" s="118">
        <v>3.7527866707464243E-4</v>
      </c>
      <c r="F98" s="148">
        <v>-1</v>
      </c>
      <c r="G98" s="119" t="b">
        <v>0</v>
      </c>
      <c r="H98" s="153"/>
    </row>
    <row r="99" spans="1:8">
      <c r="A99" s="21">
        <v>43180</v>
      </c>
      <c r="B99" s="22">
        <v>27.22</v>
      </c>
      <c r="C99" s="20">
        <v>4.0917782026768657E-2</v>
      </c>
      <c r="D99" s="118">
        <v>1</v>
      </c>
      <c r="E99" s="118">
        <v>3.3767847147665687E-4</v>
      </c>
      <c r="F99" s="148">
        <v>-1</v>
      </c>
      <c r="G99" s="119" t="b">
        <v>0</v>
      </c>
      <c r="H99" s="153"/>
    </row>
    <row r="100" spans="1:8">
      <c r="A100" s="21">
        <v>43181</v>
      </c>
      <c r="B100" s="22">
        <v>26.175000000000001</v>
      </c>
      <c r="C100" s="20">
        <v>-3.8390889052167455E-2</v>
      </c>
      <c r="D100" s="118">
        <v>0</v>
      </c>
      <c r="E100" s="118">
        <v>3.0381823924895655E-4</v>
      </c>
      <c r="F100" s="148">
        <v>-1</v>
      </c>
      <c r="G100" s="118" t="b">
        <v>1</v>
      </c>
      <c r="H100" s="153"/>
    </row>
    <row r="101" spans="1:8">
      <c r="A101" s="21">
        <v>43182</v>
      </c>
      <c r="B101" s="22">
        <v>25.29</v>
      </c>
      <c r="C101" s="20">
        <v>-3.3810888252149056E-2</v>
      </c>
      <c r="D101" s="118">
        <v>0</v>
      </c>
      <c r="E101" s="118">
        <v>2.7332966394249332E-4</v>
      </c>
      <c r="F101" s="148">
        <v>-1</v>
      </c>
      <c r="G101" s="118" t="b">
        <v>1</v>
      </c>
      <c r="H101" s="153"/>
    </row>
    <row r="102" spans="1:8">
      <c r="A102" s="21">
        <v>43185</v>
      </c>
      <c r="B102" s="22">
        <v>24.905000000000001</v>
      </c>
      <c r="C102" s="20">
        <v>-1.5223408461842548E-2</v>
      </c>
      <c r="D102" s="118">
        <v>0</v>
      </c>
      <c r="E102" s="118">
        <v>2.4588019949700461E-4</v>
      </c>
      <c r="F102" s="148">
        <v>-1</v>
      </c>
      <c r="G102" s="118" t="b">
        <v>1</v>
      </c>
      <c r="H102" s="153"/>
    </row>
    <row r="103" spans="1:8">
      <c r="A103" s="21">
        <v>43186</v>
      </c>
      <c r="B103" s="22">
        <v>25.164999999999999</v>
      </c>
      <c r="C103" s="20">
        <v>1.0439670748845532E-2</v>
      </c>
      <c r="D103" s="118">
        <v>1</v>
      </c>
      <c r="E103" s="118">
        <v>2.2116966005762955E-4</v>
      </c>
      <c r="F103" s="148">
        <v>-1</v>
      </c>
      <c r="G103" s="119" t="b">
        <v>0</v>
      </c>
      <c r="H103" s="153"/>
    </row>
    <row r="104" spans="1:8">
      <c r="A104" s="21">
        <v>43187</v>
      </c>
      <c r="B104" s="22">
        <v>24.68</v>
      </c>
      <c r="C104" s="20">
        <v>-1.9272799523147206E-2</v>
      </c>
      <c r="D104" s="118">
        <v>0</v>
      </c>
      <c r="E104" s="118">
        <v>1.9892713268089579E-4</v>
      </c>
      <c r="F104" s="148">
        <v>-1</v>
      </c>
      <c r="G104" s="118" t="b">
        <v>1</v>
      </c>
      <c r="H104" s="153"/>
    </row>
    <row r="105" spans="1:8">
      <c r="A105" s="21">
        <v>43188</v>
      </c>
      <c r="B105" s="22">
        <v>25.7</v>
      </c>
      <c r="C105" s="20">
        <v>4.1329011345218783E-2</v>
      </c>
      <c r="D105" s="118">
        <v>1</v>
      </c>
      <c r="E105" s="118">
        <v>1.789081756890625E-4</v>
      </c>
      <c r="F105" s="148">
        <v>-1</v>
      </c>
      <c r="G105" s="119" t="b">
        <v>0</v>
      </c>
      <c r="H105" s="153"/>
    </row>
    <row r="106" spans="1:8">
      <c r="A106" s="21">
        <v>43193</v>
      </c>
      <c r="B106" s="22">
        <v>25.67</v>
      </c>
      <c r="C106" s="20">
        <v>-1.1673151750971823E-3</v>
      </c>
      <c r="D106" s="118">
        <v>0</v>
      </c>
      <c r="E106" s="118">
        <v>1.6089227756322955E-4</v>
      </c>
      <c r="F106" s="148">
        <v>-1</v>
      </c>
      <c r="G106" s="118" t="b">
        <v>1</v>
      </c>
      <c r="H106" s="153"/>
    </row>
    <row r="107" spans="1:8">
      <c r="A107" s="21">
        <v>43194</v>
      </c>
      <c r="B107" s="22">
        <v>24.715</v>
      </c>
      <c r="C107" s="20">
        <v>-3.7202960654460528E-2</v>
      </c>
      <c r="D107" s="118">
        <v>0</v>
      </c>
      <c r="E107" s="118">
        <v>1.4468055326960429E-4</v>
      </c>
      <c r="F107" s="148">
        <v>-1</v>
      </c>
      <c r="G107" s="118" t="b">
        <v>1</v>
      </c>
      <c r="H107" s="153"/>
    </row>
    <row r="108" spans="1:8">
      <c r="A108" s="21">
        <v>43195</v>
      </c>
      <c r="B108" s="22">
        <v>26.094999999999999</v>
      </c>
      <c r="C108" s="20">
        <v>5.5836536516285618E-2</v>
      </c>
      <c r="D108" s="118">
        <v>1</v>
      </c>
      <c r="E108" s="118">
        <v>1.3009365679038295E-4</v>
      </c>
      <c r="F108" s="148">
        <v>-1</v>
      </c>
      <c r="G108" s="119" t="b">
        <v>0</v>
      </c>
      <c r="H108" s="153"/>
    </row>
    <row r="109" spans="1:8">
      <c r="A109" s="21">
        <v>43196</v>
      </c>
      <c r="B109" s="22">
        <v>25.535</v>
      </c>
      <c r="C109" s="20">
        <v>-2.1460049817972743E-2</v>
      </c>
      <c r="D109" s="118">
        <v>0</v>
      </c>
      <c r="E109" s="118">
        <v>1.1696989038297694E-4</v>
      </c>
      <c r="F109" s="148">
        <v>-1</v>
      </c>
      <c r="G109" s="118" t="b">
        <v>1</v>
      </c>
      <c r="H109" s="153"/>
    </row>
    <row r="110" spans="1:8">
      <c r="A110" s="21">
        <v>43199</v>
      </c>
      <c r="B110" s="22">
        <v>25.52</v>
      </c>
      <c r="C110" s="20">
        <v>-5.8742901899356051E-4</v>
      </c>
      <c r="D110" s="118">
        <v>0</v>
      </c>
      <c r="E110" s="118">
        <v>1.051634927222568E-4</v>
      </c>
      <c r="F110" s="148">
        <v>-1</v>
      </c>
      <c r="G110" s="118" t="b">
        <v>1</v>
      </c>
      <c r="H110" s="153"/>
    </row>
    <row r="111" spans="1:8">
      <c r="A111" s="21">
        <v>43200</v>
      </c>
      <c r="B111" s="22">
        <v>26.274999999999999</v>
      </c>
      <c r="C111" s="20">
        <v>2.9584639498432562E-2</v>
      </c>
      <c r="D111" s="118">
        <v>1</v>
      </c>
      <c r="E111" s="118">
        <v>9.4543089594449473E-5</v>
      </c>
      <c r="F111" s="148">
        <v>-1</v>
      </c>
      <c r="G111" s="119" t="b">
        <v>0</v>
      </c>
      <c r="H111" s="153"/>
    </row>
    <row r="112" spans="1:8">
      <c r="A112" s="21">
        <v>43201</v>
      </c>
      <c r="B112" s="22">
        <v>25.945</v>
      </c>
      <c r="C112" s="20">
        <v>-1.2559467174119822E-2</v>
      </c>
      <c r="D112" s="118">
        <v>0</v>
      </c>
      <c r="E112" s="118">
        <v>8.4990292213364655E-5</v>
      </c>
      <c r="F112" s="148">
        <v>-1</v>
      </c>
      <c r="G112" s="118" t="b">
        <v>1</v>
      </c>
      <c r="H112" s="153"/>
    </row>
    <row r="113" spans="1:8">
      <c r="A113" s="21">
        <v>43202</v>
      </c>
      <c r="B113" s="22">
        <v>26.234999999999999</v>
      </c>
      <c r="C113" s="20">
        <v>1.1177490846020394E-2</v>
      </c>
      <c r="D113" s="118">
        <v>1</v>
      </c>
      <c r="E113" s="118">
        <v>7.6398429525229575E-5</v>
      </c>
      <c r="F113" s="148">
        <v>-1</v>
      </c>
      <c r="G113" s="119" t="b">
        <v>0</v>
      </c>
      <c r="H113" s="153"/>
    </row>
    <row r="114" spans="1:8">
      <c r="A114" s="21">
        <v>43203</v>
      </c>
      <c r="B114" s="22">
        <v>26.53</v>
      </c>
      <c r="C114" s="20">
        <v>1.1244520678483009E-2</v>
      </c>
      <c r="D114" s="118">
        <v>1</v>
      </c>
      <c r="E114" s="118">
        <v>6.8671402063324685E-5</v>
      </c>
      <c r="F114" s="148">
        <v>-1</v>
      </c>
      <c r="G114" s="119" t="b">
        <v>0</v>
      </c>
      <c r="H114" s="153"/>
    </row>
    <row r="115" spans="1:8">
      <c r="A115" s="21">
        <v>43206</v>
      </c>
      <c r="B115" s="22">
        <v>26.46</v>
      </c>
      <c r="C115" s="20">
        <v>-2.638522427440644E-3</v>
      </c>
      <c r="D115" s="118">
        <v>0</v>
      </c>
      <c r="E115" s="118">
        <v>6.1722646013735605E-5</v>
      </c>
      <c r="F115" s="148">
        <v>-1</v>
      </c>
      <c r="G115" s="118" t="b">
        <v>1</v>
      </c>
      <c r="H115" s="153"/>
    </row>
    <row r="116" spans="1:8">
      <c r="A116" s="21">
        <v>43207</v>
      </c>
      <c r="B116" s="22">
        <v>27</v>
      </c>
      <c r="C116" s="20">
        <v>2.040816326530609E-2</v>
      </c>
      <c r="D116" s="118">
        <v>1</v>
      </c>
      <c r="E116" s="118">
        <v>5.5474197164752635E-5</v>
      </c>
      <c r="F116" s="148">
        <v>-1</v>
      </c>
      <c r="G116" s="119" t="b">
        <v>0</v>
      </c>
      <c r="H116" s="153"/>
    </row>
    <row r="117" spans="1:8">
      <c r="A117" s="21">
        <v>43208</v>
      </c>
      <c r="B117" s="22">
        <v>28.195</v>
      </c>
      <c r="C117" s="20">
        <v>4.4259259259259269E-2</v>
      </c>
      <c r="D117" s="118">
        <v>1</v>
      </c>
      <c r="E117" s="118">
        <v>4.9855845340584231E-5</v>
      </c>
      <c r="F117" s="148">
        <v>-1</v>
      </c>
      <c r="G117" s="119" t="b">
        <v>0</v>
      </c>
      <c r="H117" s="153"/>
    </row>
    <row r="118" spans="1:8">
      <c r="A118" s="21">
        <v>43209</v>
      </c>
      <c r="B118" s="22">
        <v>28.204999999999998</v>
      </c>
      <c r="C118" s="20">
        <v>3.5467281432871112E-4</v>
      </c>
      <c r="D118" s="118">
        <v>1</v>
      </c>
      <c r="E118" s="118">
        <v>4.480437077079355E-5</v>
      </c>
      <c r="F118" s="148">
        <v>-1</v>
      </c>
      <c r="G118" s="119" t="b">
        <v>0</v>
      </c>
      <c r="H118" s="153"/>
    </row>
    <row r="119" spans="1:8">
      <c r="A119" s="21">
        <v>43210</v>
      </c>
      <c r="B119" s="22">
        <v>28.434999999999999</v>
      </c>
      <c r="C119" s="20">
        <v>8.1545825208296559E-3</v>
      </c>
      <c r="D119" s="118">
        <v>1</v>
      </c>
      <c r="E119" s="118">
        <v>4.0262854625708948E-5</v>
      </c>
      <c r="F119" s="148">
        <v>-1</v>
      </c>
      <c r="G119" s="119" t="b">
        <v>0</v>
      </c>
      <c r="H119" s="153"/>
    </row>
    <row r="120" spans="1:8">
      <c r="A120" s="21">
        <v>43213</v>
      </c>
      <c r="B120" s="22">
        <v>28.47</v>
      </c>
      <c r="C120" s="20">
        <v>1.2308774397749302E-3</v>
      </c>
      <c r="D120" s="118">
        <v>1</v>
      </c>
      <c r="E120" s="118">
        <v>3.6180056660264963E-5</v>
      </c>
      <c r="F120" s="148">
        <v>-1</v>
      </c>
      <c r="G120" s="119" t="b">
        <v>0</v>
      </c>
      <c r="H120" s="153"/>
    </row>
    <row r="121" spans="1:8">
      <c r="A121" s="21">
        <v>43214</v>
      </c>
      <c r="B121" s="22">
        <v>28.72</v>
      </c>
      <c r="C121" s="20">
        <v>8.7811731647348089E-3</v>
      </c>
      <c r="D121" s="118">
        <v>1</v>
      </c>
      <c r="E121" s="118">
        <v>3.2509853559332172E-5</v>
      </c>
      <c r="F121" s="148">
        <v>-1</v>
      </c>
      <c r="G121" s="119" t="b">
        <v>0</v>
      </c>
      <c r="H121" s="153"/>
    </row>
    <row r="122" spans="1:8">
      <c r="A122" s="21">
        <v>43215</v>
      </c>
      <c r="B122" s="22">
        <v>27.815000000000001</v>
      </c>
      <c r="C122" s="20">
        <v>-3.1511142061281257E-2</v>
      </c>
      <c r="D122" s="118">
        <v>0</v>
      </c>
      <c r="E122" s="118">
        <v>2.9210732171335584E-5</v>
      </c>
      <c r="F122" s="148">
        <v>-1</v>
      </c>
      <c r="G122" s="118" t="b">
        <v>1</v>
      </c>
      <c r="H122" s="153"/>
    </row>
    <row r="123" spans="1:8">
      <c r="A123" s="21">
        <v>43216</v>
      </c>
      <c r="B123" s="22">
        <v>27.82</v>
      </c>
      <c r="C123" s="20">
        <v>1.797591227754451E-4</v>
      </c>
      <c r="D123" s="118">
        <v>1</v>
      </c>
      <c r="E123" s="118">
        <v>2.6245332358338168E-5</v>
      </c>
      <c r="F123" s="148">
        <v>-1</v>
      </c>
      <c r="G123" s="119" t="b">
        <v>0</v>
      </c>
      <c r="H123" s="153"/>
    </row>
    <row r="124" spans="1:8">
      <c r="A124" s="21">
        <v>43217</v>
      </c>
      <c r="B124" s="22">
        <v>27.805</v>
      </c>
      <c r="C124" s="20">
        <v>-5.3918044572252226E-4</v>
      </c>
      <c r="D124" s="118">
        <v>0</v>
      </c>
      <c r="E124" s="118">
        <v>2.3580034683981088E-5</v>
      </c>
      <c r="F124" s="148">
        <v>-1</v>
      </c>
      <c r="G124" s="118" t="b">
        <v>1</v>
      </c>
      <c r="H124" s="153"/>
    </row>
    <row r="125" spans="1:8">
      <c r="A125" s="21">
        <v>43220</v>
      </c>
      <c r="B125" s="22">
        <v>28.094999999999999</v>
      </c>
      <c r="C125" s="20">
        <v>1.0429778816759544E-2</v>
      </c>
      <c r="D125" s="118">
        <v>1</v>
      </c>
      <c r="E125" s="118">
        <v>2.1184588609669041E-5</v>
      </c>
      <c r="F125" s="148">
        <v>-1</v>
      </c>
      <c r="G125" s="119" t="b">
        <v>0</v>
      </c>
      <c r="H125" s="153"/>
    </row>
    <row r="126" spans="1:8">
      <c r="A126" s="21">
        <v>43222</v>
      </c>
      <c r="B126" s="22">
        <v>28.565000000000001</v>
      </c>
      <c r="C126" s="20">
        <v>1.6728955330130003E-2</v>
      </c>
      <c r="D126" s="118">
        <v>1</v>
      </c>
      <c r="E126" s="118">
        <v>1.9031777277835592E-5</v>
      </c>
      <c r="F126" s="148">
        <v>-1</v>
      </c>
      <c r="G126" s="119" t="b">
        <v>0</v>
      </c>
      <c r="H126" s="153"/>
    </row>
    <row r="127" spans="1:8">
      <c r="A127" s="21">
        <v>43223</v>
      </c>
      <c r="B127" s="22">
        <v>28.225000000000001</v>
      </c>
      <c r="C127" s="20">
        <v>-1.1902678102573073E-2</v>
      </c>
      <c r="D127" s="118">
        <v>0</v>
      </c>
      <c r="E127" s="118">
        <v>1.709711533243824E-5</v>
      </c>
      <c r="F127" s="148">
        <v>-1</v>
      </c>
      <c r="G127" s="118" t="b">
        <v>1</v>
      </c>
      <c r="H127" s="153"/>
    </row>
    <row r="128" spans="1:8">
      <c r="A128" s="21">
        <v>43224</v>
      </c>
      <c r="B128" s="22">
        <v>29.02</v>
      </c>
      <c r="C128" s="20">
        <v>2.8166519043401173E-2</v>
      </c>
      <c r="D128" s="118">
        <v>1</v>
      </c>
      <c r="E128" s="118">
        <v>1.5358576564177353E-5</v>
      </c>
      <c r="F128" s="148">
        <v>-1</v>
      </c>
      <c r="G128" s="119" t="b">
        <v>0</v>
      </c>
      <c r="H128" s="153"/>
    </row>
    <row r="129" spans="1:8">
      <c r="A129" s="21">
        <v>43227</v>
      </c>
      <c r="B129" s="22">
        <v>29.35</v>
      </c>
      <c r="C129" s="20">
        <v>1.1371467953135832E-2</v>
      </c>
      <c r="D129" s="118">
        <v>1</v>
      </c>
      <c r="E129" s="118">
        <v>1.379634847423989E-5</v>
      </c>
      <c r="F129" s="148">
        <v>-1</v>
      </c>
      <c r="G129" s="119" t="b">
        <v>0</v>
      </c>
      <c r="H129" s="153"/>
    </row>
    <row r="130" spans="1:8">
      <c r="A130" s="21">
        <v>43228</v>
      </c>
      <c r="B130" s="22">
        <v>29.12</v>
      </c>
      <c r="C130" s="20">
        <v>-7.8364565587734376E-3</v>
      </c>
      <c r="D130" s="118">
        <v>0</v>
      </c>
      <c r="E130" s="118">
        <v>1.2392611128339007E-5</v>
      </c>
      <c r="F130" s="148">
        <v>-1</v>
      </c>
      <c r="G130" s="118" t="b">
        <v>1</v>
      </c>
      <c r="H130" s="153"/>
    </row>
    <row r="131" spans="1:8">
      <c r="A131" s="21">
        <v>43229</v>
      </c>
      <c r="B131" s="22">
        <v>29.41</v>
      </c>
      <c r="C131" s="20">
        <v>9.9587912087911786E-3</v>
      </c>
      <c r="D131" s="118">
        <v>1</v>
      </c>
      <c r="E131" s="118">
        <v>1.1131337924951729E-5</v>
      </c>
      <c r="F131" s="148">
        <v>-1</v>
      </c>
      <c r="G131" s="119" t="b">
        <v>0</v>
      </c>
      <c r="H131" s="153"/>
    </row>
    <row r="132" spans="1:8">
      <c r="A132" s="21">
        <v>43230</v>
      </c>
      <c r="B132" s="22">
        <v>29.56</v>
      </c>
      <c r="C132" s="20">
        <v>5.1003060183610529E-3</v>
      </c>
      <c r="D132" s="118">
        <v>1</v>
      </c>
      <c r="E132" s="118">
        <v>9.9981161302332914E-6</v>
      </c>
      <c r="F132" s="148">
        <v>-1</v>
      </c>
      <c r="G132" s="119" t="b">
        <v>0</v>
      </c>
      <c r="H132" s="153"/>
    </row>
    <row r="133" spans="1:8">
      <c r="A133" s="21">
        <v>43231</v>
      </c>
      <c r="B133" s="22">
        <v>30.225000000000001</v>
      </c>
      <c r="C133" s="20">
        <v>2.2496617050067752E-2</v>
      </c>
      <c r="D133" s="118">
        <v>1</v>
      </c>
      <c r="E133" s="118">
        <v>8.979985239224916E-6</v>
      </c>
      <c r="F133" s="148">
        <v>-1</v>
      </c>
      <c r="G133" s="119" t="b">
        <v>0</v>
      </c>
      <c r="H133" s="153"/>
    </row>
    <row r="134" spans="1:8">
      <c r="A134" s="21">
        <v>43234</v>
      </c>
      <c r="B134" s="22">
        <v>30.475000000000001</v>
      </c>
      <c r="C134" s="20">
        <v>8.271298593879239E-3</v>
      </c>
      <c r="D134" s="118">
        <v>1</v>
      </c>
      <c r="E134" s="118">
        <v>8.0652914105946159E-6</v>
      </c>
      <c r="F134" s="148">
        <v>-1</v>
      </c>
      <c r="G134" s="119" t="b">
        <v>0</v>
      </c>
      <c r="H134" s="153"/>
    </row>
    <row r="135" spans="1:8">
      <c r="A135" s="21">
        <v>43235</v>
      </c>
      <c r="B135" s="22">
        <v>30.175000000000001</v>
      </c>
      <c r="C135" s="20">
        <v>-9.8441345365053549E-3</v>
      </c>
      <c r="D135" s="118">
        <v>0</v>
      </c>
      <c r="E135" s="118">
        <v>7.243556392034906E-6</v>
      </c>
      <c r="F135" s="148">
        <v>-1</v>
      </c>
      <c r="G135" s="118" t="b">
        <v>1</v>
      </c>
      <c r="H135" s="153"/>
    </row>
    <row r="136" spans="1:8">
      <c r="A136" s="21">
        <v>43236</v>
      </c>
      <c r="B136" s="22">
        <v>30.49</v>
      </c>
      <c r="C136" s="20">
        <v>1.0439105219552535E-2</v>
      </c>
      <c r="D136" s="118">
        <v>1</v>
      </c>
      <c r="E136" s="118">
        <v>6.505359507202137E-6</v>
      </c>
      <c r="F136" s="148">
        <v>-1</v>
      </c>
      <c r="G136" s="119" t="b">
        <v>0</v>
      </c>
      <c r="H136" s="153"/>
    </row>
    <row r="137" spans="1:8">
      <c r="A137" s="21">
        <v>43237</v>
      </c>
      <c r="B137" s="22">
        <v>30.62</v>
      </c>
      <c r="C137" s="20">
        <v>4.2636930141030684E-3</v>
      </c>
      <c r="D137" s="118">
        <v>1</v>
      </c>
      <c r="E137" s="118">
        <v>5.8422314142029368E-6</v>
      </c>
      <c r="F137" s="148">
        <v>-1</v>
      </c>
      <c r="G137" s="119" t="b">
        <v>0</v>
      </c>
      <c r="H137" s="153"/>
    </row>
    <row r="138" spans="1:8">
      <c r="A138" s="21">
        <v>43238</v>
      </c>
      <c r="B138" s="22">
        <v>30.23</v>
      </c>
      <c r="C138" s="20">
        <v>-1.2736773350751161E-2</v>
      </c>
      <c r="D138" s="118">
        <v>0</v>
      </c>
      <c r="E138" s="118">
        <v>5.2465584714639459E-6</v>
      </c>
      <c r="F138" s="148">
        <v>-1</v>
      </c>
      <c r="G138" s="118" t="b">
        <v>1</v>
      </c>
      <c r="H138" s="153"/>
    </row>
    <row r="139" spans="1:8">
      <c r="A139" s="21">
        <v>43241</v>
      </c>
      <c r="B139" s="22">
        <v>29.515000000000001</v>
      </c>
      <c r="C139" s="20">
        <v>-2.3652001323188881E-2</v>
      </c>
      <c r="D139" s="118">
        <v>0</v>
      </c>
      <c r="E139" s="118">
        <v>4.7114966605959333E-6</v>
      </c>
      <c r="F139" s="148">
        <v>-1</v>
      </c>
      <c r="G139" s="118" t="b">
        <v>1</v>
      </c>
      <c r="H139" s="153"/>
    </row>
    <row r="140" spans="1:8">
      <c r="A140" s="21">
        <v>43242</v>
      </c>
      <c r="B140" s="22">
        <v>30.114999999999998</v>
      </c>
      <c r="C140" s="20">
        <v>2.0328646450957069E-2</v>
      </c>
      <c r="D140" s="118">
        <v>1</v>
      </c>
      <c r="E140" s="118">
        <v>4.2308941187066564E-6</v>
      </c>
      <c r="F140" s="148">
        <v>-1</v>
      </c>
      <c r="G140" s="119" t="b">
        <v>0</v>
      </c>
      <c r="H140" s="153"/>
    </row>
    <row r="141" spans="1:8">
      <c r="A141" s="21">
        <v>43243</v>
      </c>
      <c r="B141" s="22">
        <v>28.695</v>
      </c>
      <c r="C141" s="20">
        <v>-4.715258176988206E-2</v>
      </c>
      <c r="D141" s="118">
        <v>0</v>
      </c>
      <c r="E141" s="118">
        <v>3.7992214255512877E-6</v>
      </c>
      <c r="F141" s="148">
        <v>-1</v>
      </c>
      <c r="G141" s="118" t="b">
        <v>1</v>
      </c>
      <c r="H141" s="153"/>
    </row>
    <row r="142" spans="1:8">
      <c r="A142" s="21">
        <v>43244</v>
      </c>
      <c r="B142" s="22">
        <v>28.56</v>
      </c>
      <c r="C142" s="20">
        <v>-4.704652378463201E-3</v>
      </c>
      <c r="D142" s="118">
        <v>0</v>
      </c>
      <c r="E142" s="118">
        <v>3.4115088748684367E-6</v>
      </c>
      <c r="F142" s="148">
        <v>-1</v>
      </c>
      <c r="G142" s="118" t="b">
        <v>1</v>
      </c>
      <c r="H142" s="153"/>
    </row>
    <row r="143" spans="1:8">
      <c r="A143" s="21">
        <v>43245</v>
      </c>
      <c r="B143" s="22">
        <v>28.484999999999999</v>
      </c>
      <c r="C143" s="20">
        <v>-2.6260504201680423E-3</v>
      </c>
      <c r="D143" s="118">
        <v>0</v>
      </c>
      <c r="E143" s="118">
        <v>3.0632900350792305E-6</v>
      </c>
      <c r="F143" s="148">
        <v>-1</v>
      </c>
      <c r="G143" s="118" t="b">
        <v>1</v>
      </c>
      <c r="H143" s="153"/>
    </row>
    <row r="144" spans="1:8">
      <c r="A144" s="21">
        <v>43248</v>
      </c>
      <c r="B144" s="22">
        <v>28.17</v>
      </c>
      <c r="C144" s="20">
        <v>-1.1058451816745576E-2</v>
      </c>
      <c r="D144" s="118">
        <v>0</v>
      </c>
      <c r="E144" s="118">
        <v>2.7505509729988962E-6</v>
      </c>
      <c r="F144" s="148">
        <v>-1</v>
      </c>
      <c r="G144" s="118" t="b">
        <v>1</v>
      </c>
      <c r="H144" s="153"/>
    </row>
    <row r="145" spans="1:8">
      <c r="A145" s="21">
        <v>43249</v>
      </c>
      <c r="B145" s="22">
        <v>27.72</v>
      </c>
      <c r="C145" s="20">
        <v>-1.597444089456879E-2</v>
      </c>
      <c r="D145" s="118">
        <v>0</v>
      </c>
      <c r="E145" s="118">
        <v>2.469684576022738E-6</v>
      </c>
      <c r="F145" s="148">
        <v>-1</v>
      </c>
      <c r="G145" s="118" t="b">
        <v>1</v>
      </c>
      <c r="H145" s="153"/>
    </row>
    <row r="146" spans="1:8">
      <c r="A146" s="21">
        <v>43250</v>
      </c>
      <c r="B146" s="22">
        <v>27.61</v>
      </c>
      <c r="C146" s="20">
        <v>-3.9682539682539481E-3</v>
      </c>
      <c r="D146" s="118">
        <v>0</v>
      </c>
      <c r="E146" s="118">
        <v>2.2174494640378755E-6</v>
      </c>
      <c r="F146" s="148">
        <v>-1</v>
      </c>
      <c r="G146" s="118" t="b">
        <v>1</v>
      </c>
      <c r="H146" s="153"/>
    </row>
    <row r="147" spans="1:8">
      <c r="A147" s="21">
        <v>43251</v>
      </c>
      <c r="B147" s="22">
        <v>27.7</v>
      </c>
      <c r="C147" s="20">
        <v>3.259688518652657E-3</v>
      </c>
      <c r="D147" s="118">
        <v>1</v>
      </c>
      <c r="E147" s="118">
        <v>1.9909330326538741E-6</v>
      </c>
      <c r="F147" s="148">
        <v>-1</v>
      </c>
      <c r="G147" s="119" t="b">
        <v>0</v>
      </c>
      <c r="H147" s="153"/>
    </row>
    <row r="148" spans="1:8">
      <c r="A148" s="21">
        <v>43252</v>
      </c>
      <c r="B148" s="22">
        <v>27.975000000000001</v>
      </c>
      <c r="C148" s="20">
        <v>9.9277978339350949E-3</v>
      </c>
      <c r="D148" s="118">
        <v>1</v>
      </c>
      <c r="E148" s="118">
        <v>1.7875182147635526E-6</v>
      </c>
      <c r="F148" s="148">
        <v>-1</v>
      </c>
      <c r="G148" s="119" t="b">
        <v>0</v>
      </c>
      <c r="H148" s="153"/>
    </row>
    <row r="149" spans="1:8">
      <c r="A149" s="21">
        <v>43255</v>
      </c>
      <c r="B149" s="22">
        <v>28.3</v>
      </c>
      <c r="C149" s="20">
        <v>1.1617515638963334E-2</v>
      </c>
      <c r="D149" s="118">
        <v>1</v>
      </c>
      <c r="E149" s="118">
        <v>1.6048535884117098E-6</v>
      </c>
      <c r="F149" s="148">
        <v>-1</v>
      </c>
      <c r="G149" s="119" t="b">
        <v>0</v>
      </c>
      <c r="H149" s="153"/>
    </row>
    <row r="150" spans="1:8">
      <c r="A150" s="21">
        <v>43256</v>
      </c>
      <c r="B150" s="22">
        <v>28.68</v>
      </c>
      <c r="C150" s="20">
        <v>1.3427561837455795E-2</v>
      </c>
      <c r="D150" s="118">
        <v>1</v>
      </c>
      <c r="E150" s="118">
        <v>1.4408264958960269E-6</v>
      </c>
      <c r="F150" s="148">
        <v>-1</v>
      </c>
      <c r="G150" s="119" t="b">
        <v>0</v>
      </c>
      <c r="H150" s="153"/>
    </row>
    <row r="151" spans="1:8">
      <c r="A151" s="21">
        <v>43257</v>
      </c>
      <c r="B151" s="22">
        <v>29.484999999999999</v>
      </c>
      <c r="C151" s="20">
        <v>2.8068340306834021E-2</v>
      </c>
      <c r="D151" s="118">
        <v>1</v>
      </c>
      <c r="E151" s="118">
        <v>1.2935388723374647E-6</v>
      </c>
      <c r="F151" s="148">
        <v>-1</v>
      </c>
      <c r="G151" s="119" t="b">
        <v>0</v>
      </c>
      <c r="H151" s="153"/>
    </row>
    <row r="152" spans="1:8">
      <c r="A152" s="21">
        <v>43258</v>
      </c>
      <c r="B152" s="22">
        <v>28.75</v>
      </c>
      <c r="C152" s="20">
        <v>-2.49279294556554E-2</v>
      </c>
      <c r="D152" s="118">
        <v>0</v>
      </c>
      <c r="E152" s="118">
        <v>1.1612855119911561E-6</v>
      </c>
      <c r="F152" s="148">
        <v>-1</v>
      </c>
      <c r="G152" s="118" t="b">
        <v>1</v>
      </c>
      <c r="H152" s="153"/>
    </row>
    <row r="153" spans="1:8">
      <c r="A153" s="21">
        <v>43259</v>
      </c>
      <c r="B153" s="22">
        <v>28.045000000000002</v>
      </c>
      <c r="C153" s="20">
        <v>-2.4521739130434723E-2</v>
      </c>
      <c r="D153" s="118">
        <v>0</v>
      </c>
      <c r="E153" s="118">
        <v>1.0425345276404018E-6</v>
      </c>
      <c r="F153" s="148">
        <v>-1</v>
      </c>
      <c r="G153" s="118" t="b">
        <v>1</v>
      </c>
      <c r="H153" s="153"/>
    </row>
    <row r="154" spans="1:8">
      <c r="A154" s="21">
        <v>43262</v>
      </c>
      <c r="B154" s="22">
        <v>28.6</v>
      </c>
      <c r="C154" s="20">
        <v>1.9789623818862533E-2</v>
      </c>
      <c r="D154" s="118">
        <v>1</v>
      </c>
      <c r="E154" s="118">
        <v>9.3590978281493921E-7</v>
      </c>
      <c r="F154" s="148">
        <v>-1</v>
      </c>
      <c r="G154" s="119" t="b">
        <v>0</v>
      </c>
      <c r="H154" s="153"/>
    </row>
    <row r="155" spans="1:8">
      <c r="A155" s="21">
        <v>43263</v>
      </c>
      <c r="B155" s="22">
        <v>28.335000000000001</v>
      </c>
      <c r="C155" s="20">
        <v>-9.2657342657342847E-3</v>
      </c>
      <c r="D155" s="118">
        <v>0</v>
      </c>
      <c r="E155" s="118">
        <v>8.4017509856071686E-7</v>
      </c>
      <c r="F155" s="148">
        <v>-1</v>
      </c>
      <c r="G155" s="118" t="b">
        <v>1</v>
      </c>
      <c r="H155" s="153"/>
    </row>
    <row r="156" spans="1:8">
      <c r="A156" s="21">
        <v>43264</v>
      </c>
      <c r="B156" s="22">
        <v>28.805</v>
      </c>
      <c r="C156" s="20">
        <v>1.6587259572966254E-2</v>
      </c>
      <c r="D156" s="118">
        <v>1</v>
      </c>
      <c r="E156" s="118">
        <v>7.5422005629763322E-7</v>
      </c>
      <c r="F156" s="148">
        <v>-1</v>
      </c>
      <c r="G156" s="119" t="b">
        <v>0</v>
      </c>
      <c r="H156" s="153"/>
    </row>
    <row r="157" spans="1:8">
      <c r="A157" s="21">
        <v>43265</v>
      </c>
      <c r="B157" s="22">
        <v>29.045000000000002</v>
      </c>
      <c r="C157" s="20">
        <v>8.3318868252040268E-3</v>
      </c>
      <c r="D157" s="118">
        <v>1</v>
      </c>
      <c r="E157" s="118">
        <v>6.7704723614740869E-7</v>
      </c>
      <c r="F157" s="148">
        <v>-1</v>
      </c>
      <c r="G157" s="119" t="b">
        <v>0</v>
      </c>
      <c r="H157" s="153"/>
    </row>
    <row r="158" spans="1:8">
      <c r="A158" s="21">
        <v>43266</v>
      </c>
      <c r="B158" s="22">
        <v>28.004999999999999</v>
      </c>
      <c r="C158" s="20">
        <v>-3.5806507144086855E-2</v>
      </c>
      <c r="D158" s="118">
        <v>0</v>
      </c>
      <c r="E158" s="118">
        <v>6.0776074618826804E-7</v>
      </c>
      <c r="F158" s="148">
        <v>-1</v>
      </c>
      <c r="G158" s="118" t="b">
        <v>1</v>
      </c>
      <c r="H158" s="153"/>
    </row>
    <row r="159" spans="1:8">
      <c r="A159" s="21">
        <v>43269</v>
      </c>
      <c r="B159" s="22">
        <v>28.14</v>
      </c>
      <c r="C159" s="20">
        <v>4.8205677557579566E-3</v>
      </c>
      <c r="D159" s="118">
        <v>1</v>
      </c>
      <c r="E159" s="118">
        <v>5.455559125707188E-7</v>
      </c>
      <c r="F159" s="148">
        <v>-1</v>
      </c>
      <c r="G159" s="119" t="b">
        <v>0</v>
      </c>
      <c r="H159" s="153"/>
    </row>
    <row r="160" spans="1:8">
      <c r="A160" s="21">
        <v>43270</v>
      </c>
      <c r="B160" s="22">
        <v>27.06</v>
      </c>
      <c r="C160" s="20">
        <v>-3.8379530916844415E-2</v>
      </c>
      <c r="D160" s="118">
        <v>0</v>
      </c>
      <c r="E160" s="118">
        <v>4.8971001346614855E-7</v>
      </c>
      <c r="F160" s="148">
        <v>-1</v>
      </c>
      <c r="G160" s="118" t="b">
        <v>1</v>
      </c>
      <c r="H160" s="153"/>
    </row>
    <row r="161" spans="1:8">
      <c r="A161" s="21">
        <v>43271</v>
      </c>
      <c r="B161" s="22">
        <v>27.17</v>
      </c>
      <c r="C161" s="20">
        <v>4.0650406504066147E-3</v>
      </c>
      <c r="D161" s="118">
        <v>1</v>
      </c>
      <c r="E161" s="118">
        <v>4.3957395155947616E-7</v>
      </c>
      <c r="F161" s="148">
        <v>-1</v>
      </c>
      <c r="G161" s="119" t="b">
        <v>0</v>
      </c>
      <c r="H161" s="153"/>
    </row>
    <row r="162" spans="1:8">
      <c r="A162" s="21">
        <v>43272</v>
      </c>
      <c r="B162" s="22">
        <v>26.995000000000001</v>
      </c>
      <c r="C162" s="20">
        <v>-6.440927493559098E-3</v>
      </c>
      <c r="D162" s="118">
        <v>0</v>
      </c>
      <c r="E162" s="118">
        <v>3.9456477036649972E-7</v>
      </c>
      <c r="F162" s="148">
        <v>-1</v>
      </c>
      <c r="G162" s="118" t="b">
        <v>1</v>
      </c>
      <c r="H162" s="153"/>
    </row>
    <row r="163" spans="1:8">
      <c r="A163" s="21">
        <v>43273</v>
      </c>
      <c r="B163" s="22">
        <v>27.36</v>
      </c>
      <c r="C163" s="20">
        <v>1.3521022411557638E-2</v>
      </c>
      <c r="D163" s="118">
        <v>1</v>
      </c>
      <c r="E163" s="118">
        <v>3.5415892917165321E-7</v>
      </c>
      <c r="F163" s="148">
        <v>-1</v>
      </c>
      <c r="G163" s="119" t="b">
        <v>0</v>
      </c>
      <c r="H163" s="153"/>
    </row>
    <row r="164" spans="1:8">
      <c r="A164" s="21">
        <v>43276</v>
      </c>
      <c r="B164" s="22">
        <v>25.98</v>
      </c>
      <c r="C164" s="20">
        <v>-5.0438596491228033E-2</v>
      </c>
      <c r="D164" s="118">
        <v>0</v>
      </c>
      <c r="E164" s="118">
        <v>3.1788625994678196E-7</v>
      </c>
      <c r="F164" s="148">
        <v>-1</v>
      </c>
      <c r="G164" s="118" t="b">
        <v>1</v>
      </c>
      <c r="H164" s="153"/>
    </row>
    <row r="165" spans="1:8">
      <c r="A165" s="21">
        <v>43277</v>
      </c>
      <c r="B165" s="22">
        <v>25.7</v>
      </c>
      <c r="C165" s="20">
        <v>-1.0777521170130913E-2</v>
      </c>
      <c r="D165" s="118">
        <v>0</v>
      </c>
      <c r="E165" s="118">
        <v>2.8532453732057461E-7</v>
      </c>
      <c r="F165" s="148">
        <v>-1</v>
      </c>
      <c r="G165" s="118" t="b">
        <v>1</v>
      </c>
      <c r="H165" s="153"/>
    </row>
    <row r="166" spans="1:8">
      <c r="A166" s="21">
        <v>43278</v>
      </c>
      <c r="B166" s="22">
        <v>25.7</v>
      </c>
      <c r="C166" s="20">
        <v>3.8910505835102812E-7</v>
      </c>
      <c r="D166" s="118">
        <v>1</v>
      </c>
      <c r="E166" s="118">
        <v>2.560945996061044E-7</v>
      </c>
      <c r="F166" s="148">
        <v>-1</v>
      </c>
      <c r="G166" s="119" t="b">
        <v>0</v>
      </c>
      <c r="H166" s="153"/>
    </row>
    <row r="167" spans="1:8">
      <c r="A167" s="21">
        <v>43279</v>
      </c>
      <c r="B167" s="22">
        <v>25.28</v>
      </c>
      <c r="C167" s="20">
        <v>-1.6342795197355868E-2</v>
      </c>
      <c r="D167" s="118">
        <v>0</v>
      </c>
      <c r="E167" s="118">
        <v>2.2985596513731542E-7</v>
      </c>
      <c r="F167" s="148">
        <v>-1</v>
      </c>
      <c r="G167" s="118" t="b">
        <v>1</v>
      </c>
      <c r="H167" s="153"/>
    </row>
    <row r="168" spans="1:8">
      <c r="A168" s="21">
        <v>43280</v>
      </c>
      <c r="B168" s="22">
        <v>25.11</v>
      </c>
      <c r="C168" s="20">
        <v>-6.7246835443038645E-3</v>
      </c>
      <c r="D168" s="118">
        <v>0</v>
      </c>
      <c r="E168" s="118">
        <v>2.0630289378313643E-7</v>
      </c>
      <c r="F168" s="148">
        <v>-1</v>
      </c>
      <c r="G168" s="118" t="b">
        <v>1</v>
      </c>
      <c r="H168" s="153"/>
    </row>
    <row r="169" spans="1:8">
      <c r="A169" s="21">
        <v>43283</v>
      </c>
      <c r="B169" s="22">
        <v>24.64</v>
      </c>
      <c r="C169" s="20">
        <v>-1.8717642373556307E-2</v>
      </c>
      <c r="D169" s="118">
        <v>0</v>
      </c>
      <c r="E169" s="118">
        <v>1.8516084856247266E-7</v>
      </c>
      <c r="F169" s="148">
        <v>-1</v>
      </c>
      <c r="G169" s="118" t="b">
        <v>1</v>
      </c>
      <c r="H169" s="153"/>
    </row>
    <row r="170" spans="1:8">
      <c r="A170" s="21">
        <v>43284</v>
      </c>
      <c r="B170" s="22">
        <v>24.484999999999999</v>
      </c>
      <c r="C170" s="20">
        <v>-6.2905844155844619E-3</v>
      </c>
      <c r="D170" s="118">
        <v>0</v>
      </c>
      <c r="E170" s="118">
        <v>1.6618331683078342E-7</v>
      </c>
      <c r="F170" s="148">
        <v>-1</v>
      </c>
      <c r="G170" s="118" t="b">
        <v>1</v>
      </c>
      <c r="H170" s="153"/>
    </row>
    <row r="171" spans="1:8">
      <c r="A171" s="21">
        <v>43285</v>
      </c>
      <c r="B171" s="22">
        <v>24.265000000000001</v>
      </c>
      <c r="C171" s="20">
        <v>-8.9850929140289516E-3</v>
      </c>
      <c r="D171" s="118">
        <v>0</v>
      </c>
      <c r="E171" s="118">
        <v>1.491489545997795E-7</v>
      </c>
      <c r="F171" s="148">
        <v>-1</v>
      </c>
      <c r="G171" s="118" t="b">
        <v>1</v>
      </c>
      <c r="H171" s="153"/>
    </row>
    <row r="172" spans="1:8">
      <c r="A172" s="21">
        <v>43286</v>
      </c>
      <c r="B172" s="22">
        <v>25.225000000000001</v>
      </c>
      <c r="C172" s="20">
        <v>3.9563156810220518E-2</v>
      </c>
      <c r="D172" s="118">
        <v>1</v>
      </c>
      <c r="E172" s="118">
        <v>1.3385902123158704E-7</v>
      </c>
      <c r="F172" s="148">
        <v>-1</v>
      </c>
      <c r="G172" s="119" t="b">
        <v>0</v>
      </c>
      <c r="H172" s="153"/>
    </row>
    <row r="173" spans="1:8">
      <c r="A173" s="21">
        <v>43287</v>
      </c>
      <c r="B173" s="22">
        <v>25.46</v>
      </c>
      <c r="C173" s="20">
        <v>9.3161546085232666E-3</v>
      </c>
      <c r="D173" s="118">
        <v>1</v>
      </c>
      <c r="E173" s="118">
        <v>1.20135075058558E-7</v>
      </c>
      <c r="F173" s="148">
        <v>-1</v>
      </c>
      <c r="G173" s="119" t="b">
        <v>0</v>
      </c>
      <c r="H173" s="153"/>
    </row>
    <row r="174" spans="1:8">
      <c r="A174" s="21">
        <v>43290</v>
      </c>
      <c r="B174" s="22">
        <v>25.765000000000001</v>
      </c>
      <c r="C174" s="20">
        <v>1.1979575805184592E-2</v>
      </c>
      <c r="D174" s="118">
        <v>1</v>
      </c>
      <c r="E174" s="118">
        <v>1.0781690345676175E-7</v>
      </c>
      <c r="F174" s="148">
        <v>-1</v>
      </c>
      <c r="G174" s="119" t="b">
        <v>0</v>
      </c>
      <c r="H174" s="153"/>
    </row>
    <row r="175" spans="1:8">
      <c r="A175" s="21">
        <v>43291</v>
      </c>
      <c r="B175" s="22">
        <v>25.67</v>
      </c>
      <c r="C175" s="20">
        <v>-3.6871725208615898E-3</v>
      </c>
      <c r="D175" s="118">
        <v>0</v>
      </c>
      <c r="E175" s="118">
        <v>9.6760663578349078E-8</v>
      </c>
      <c r="F175" s="148">
        <v>-1</v>
      </c>
      <c r="G175" s="118" t="b">
        <v>1</v>
      </c>
      <c r="H175" s="153"/>
    </row>
    <row r="176" spans="1:8">
      <c r="A176" s="21">
        <v>43292</v>
      </c>
      <c r="B176" s="22">
        <v>24.725000000000001</v>
      </c>
      <c r="C176" s="20">
        <v>-3.681340085703156E-2</v>
      </c>
      <c r="D176" s="118">
        <v>0</v>
      </c>
      <c r="E176" s="118">
        <v>8.6837212355506094E-8</v>
      </c>
      <c r="F176" s="148">
        <v>-1</v>
      </c>
      <c r="G176" s="118" t="b">
        <v>1</v>
      </c>
      <c r="H176" s="153"/>
    </row>
    <row r="177" spans="1:8">
      <c r="A177" s="21">
        <v>43293</v>
      </c>
      <c r="B177" s="22">
        <v>25.43</v>
      </c>
      <c r="C177" s="20">
        <v>2.851365015166828E-2</v>
      </c>
      <c r="D177" s="118">
        <v>1</v>
      </c>
      <c r="E177" s="118">
        <v>7.7930606553569434E-8</v>
      </c>
      <c r="F177" s="148">
        <v>-1</v>
      </c>
      <c r="G177" s="119" t="b">
        <v>0</v>
      </c>
      <c r="H177" s="153"/>
    </row>
    <row r="178" spans="1:8">
      <c r="A178" s="21">
        <v>43294</v>
      </c>
      <c r="B178" s="22">
        <v>25.454999999999998</v>
      </c>
      <c r="C178" s="20">
        <v>9.8309083759333784E-4</v>
      </c>
      <c r="D178" s="118">
        <v>1</v>
      </c>
      <c r="E178" s="118">
        <v>6.9936755597439705E-8</v>
      </c>
      <c r="F178" s="148">
        <v>-1</v>
      </c>
      <c r="G178" s="119" t="b">
        <v>0</v>
      </c>
      <c r="H178" s="153"/>
    </row>
    <row r="179" spans="1:8">
      <c r="A179" s="21">
        <v>43297</v>
      </c>
      <c r="B179" s="22">
        <v>25.114999999999998</v>
      </c>
      <c r="C179" s="20">
        <v>-1.3356904340993906E-2</v>
      </c>
      <c r="D179" s="118">
        <v>0</v>
      </c>
      <c r="E179" s="118">
        <v>6.2762211645577279E-8</v>
      </c>
      <c r="F179" s="148">
        <v>-1</v>
      </c>
      <c r="G179" s="118" t="b">
        <v>1</v>
      </c>
      <c r="H179" s="153"/>
    </row>
    <row r="180" spans="1:8">
      <c r="A180" s="21">
        <v>43298</v>
      </c>
      <c r="B180" s="22">
        <v>25.73</v>
      </c>
      <c r="C180" s="20">
        <v>2.4487358152498587E-2</v>
      </c>
      <c r="D180" s="118">
        <v>1</v>
      </c>
      <c r="E180" s="118">
        <v>5.632308295936342E-8</v>
      </c>
      <c r="F180" s="148">
        <v>-1</v>
      </c>
      <c r="G180" s="119" t="b">
        <v>0</v>
      </c>
      <c r="H180" s="153"/>
    </row>
    <row r="181" spans="1:8">
      <c r="A181" s="21">
        <v>43299</v>
      </c>
      <c r="B181" s="22">
        <v>26.484999999999999</v>
      </c>
      <c r="C181" s="20">
        <v>2.9343179168286007E-2</v>
      </c>
      <c r="D181" s="118">
        <v>1</v>
      </c>
      <c r="E181" s="118">
        <v>5.0544058030150857E-8</v>
      </c>
      <c r="F181" s="148">
        <v>-1</v>
      </c>
      <c r="G181" s="119" t="b">
        <v>0</v>
      </c>
      <c r="H181" s="153"/>
    </row>
    <row r="182" spans="1:8">
      <c r="A182" s="21">
        <v>43300</v>
      </c>
      <c r="B182" s="22">
        <v>25.69</v>
      </c>
      <c r="C182" s="20">
        <v>-3.0016990749480769E-2</v>
      </c>
      <c r="D182" s="118">
        <v>0</v>
      </c>
      <c r="E182" s="118">
        <v>4.5357529197969229E-8</v>
      </c>
      <c r="F182" s="148">
        <v>-1</v>
      </c>
      <c r="G182" s="118" t="b">
        <v>1</v>
      </c>
      <c r="H182" s="153"/>
    </row>
    <row r="183" spans="1:8">
      <c r="A183" s="21">
        <v>43301</v>
      </c>
      <c r="B183" s="22">
        <v>25.155000000000001</v>
      </c>
      <c r="C183" s="20">
        <v>-2.0825223822499031E-2</v>
      </c>
      <c r="D183" s="118">
        <v>0</v>
      </c>
      <c r="E183" s="118">
        <v>4.0702805638900592E-8</v>
      </c>
      <c r="F183" s="148">
        <v>-1</v>
      </c>
      <c r="G183" s="118" t="b">
        <v>1</v>
      </c>
      <c r="H183" s="153"/>
    </row>
    <row r="184" spans="1:8">
      <c r="A184" s="21">
        <v>43304</v>
      </c>
      <c r="B184" s="22">
        <v>25.3</v>
      </c>
      <c r="C184" s="20">
        <v>5.7642615782150493E-3</v>
      </c>
      <c r="D184" s="118">
        <v>1</v>
      </c>
      <c r="E184" s="118">
        <v>3.6525406625603568E-8</v>
      </c>
      <c r="F184" s="148">
        <v>-1</v>
      </c>
      <c r="G184" s="119" t="b">
        <v>0</v>
      </c>
      <c r="H184" s="153"/>
    </row>
    <row r="185" spans="1:8">
      <c r="A185" s="21">
        <v>43305</v>
      </c>
      <c r="B185" s="22">
        <v>26.655000000000001</v>
      </c>
      <c r="C185" s="20">
        <v>5.3557312252964444E-2</v>
      </c>
      <c r="D185" s="118">
        <v>1</v>
      </c>
      <c r="E185" s="118">
        <v>3.2776426888944037E-8</v>
      </c>
      <c r="F185" s="148">
        <v>-1</v>
      </c>
      <c r="G185" s="119" t="b">
        <v>0</v>
      </c>
      <c r="H185" s="153"/>
    </row>
    <row r="186" spans="1:8">
      <c r="A186" s="21">
        <v>43306</v>
      </c>
      <c r="B186" s="22">
        <v>26.2</v>
      </c>
      <c r="C186" s="20">
        <v>-1.7069968111048651E-2</v>
      </c>
      <c r="D186" s="118">
        <v>0</v>
      </c>
      <c r="E186" s="118">
        <v>2.9411966738696849E-8</v>
      </c>
      <c r="F186" s="148">
        <v>-1</v>
      </c>
      <c r="G186" s="118" t="b">
        <v>1</v>
      </c>
      <c r="H186" s="153"/>
    </row>
    <row r="187" spans="1:8">
      <c r="A187" s="21">
        <v>43307</v>
      </c>
      <c r="B187" s="22">
        <v>26.495000000000001</v>
      </c>
      <c r="C187" s="20">
        <v>1.125954198473289E-2</v>
      </c>
      <c r="D187" s="118">
        <v>1</v>
      </c>
      <c r="E187" s="118">
        <v>2.6392620347221888E-8</v>
      </c>
      <c r="F187" s="148">
        <v>-1</v>
      </c>
      <c r="G187" s="119" t="b">
        <v>0</v>
      </c>
      <c r="H187" s="153"/>
    </row>
    <row r="188" spans="1:8">
      <c r="A188" s="21">
        <v>43308</v>
      </c>
      <c r="B188" s="22">
        <v>26.984999999999999</v>
      </c>
      <c r="C188" s="20">
        <v>1.8494055482166386E-2</v>
      </c>
      <c r="D188" s="118">
        <v>1</v>
      </c>
      <c r="E188" s="118">
        <v>2.3683016270389407E-8</v>
      </c>
      <c r="F188" s="148">
        <v>-1</v>
      </c>
      <c r="G188" s="119" t="b">
        <v>0</v>
      </c>
      <c r="H188" s="153"/>
    </row>
    <row r="189" spans="1:8">
      <c r="A189" s="21">
        <v>43311</v>
      </c>
      <c r="B189" s="22">
        <v>27.11</v>
      </c>
      <c r="C189" s="20">
        <v>4.6322030757828423E-3</v>
      </c>
      <c r="D189" s="118">
        <v>1</v>
      </c>
      <c r="E189" s="118">
        <v>2.1251404882450848E-8</v>
      </c>
      <c r="F189" s="148">
        <v>-1</v>
      </c>
      <c r="G189" s="119" t="b">
        <v>0</v>
      </c>
      <c r="H189" s="153"/>
    </row>
    <row r="190" spans="1:8">
      <c r="A190" s="21">
        <v>43312</v>
      </c>
      <c r="B190" s="22">
        <v>27.515000000000001</v>
      </c>
      <c r="C190" s="20">
        <v>1.4939136849870938E-2</v>
      </c>
      <c r="D190" s="118">
        <v>1</v>
      </c>
      <c r="E190" s="118">
        <v>1.9069287942892998E-8</v>
      </c>
      <c r="F190" s="148">
        <v>-1</v>
      </c>
      <c r="G190" s="119" t="b">
        <v>0</v>
      </c>
      <c r="H190" s="153"/>
    </row>
    <row r="191" spans="1:8">
      <c r="A191" s="21">
        <v>43313</v>
      </c>
      <c r="B191" s="22">
        <v>28.135000000000002</v>
      </c>
      <c r="C191" s="20">
        <v>2.2533163728875195E-2</v>
      </c>
      <c r="D191" s="118">
        <v>1</v>
      </c>
      <c r="E191" s="118">
        <v>1.7111085999747704E-8</v>
      </c>
      <c r="F191" s="148">
        <v>-1</v>
      </c>
      <c r="G191" s="119" t="b">
        <v>0</v>
      </c>
      <c r="H191" s="153"/>
    </row>
    <row r="192" spans="1:8">
      <c r="A192" s="21">
        <v>43314</v>
      </c>
      <c r="B192" s="22">
        <v>27.254999999999999</v>
      </c>
      <c r="C192" s="20">
        <v>-3.1277767904745069E-2</v>
      </c>
      <c r="D192" s="118">
        <v>0</v>
      </c>
      <c r="E192" s="118">
        <v>1.5353839770901141E-8</v>
      </c>
      <c r="F192" s="148">
        <v>-1</v>
      </c>
      <c r="G192" s="118" t="b">
        <v>1</v>
      </c>
      <c r="H192" s="153"/>
    </row>
    <row r="193" spans="1:8">
      <c r="A193" s="21">
        <v>43315</v>
      </c>
      <c r="B193" s="22">
        <v>27.74</v>
      </c>
      <c r="C193" s="20">
        <v>1.7794900018345237E-2</v>
      </c>
      <c r="D193" s="118">
        <v>1</v>
      </c>
      <c r="E193" s="118">
        <v>1.3776942037661202E-8</v>
      </c>
      <c r="F193" s="148">
        <v>-1</v>
      </c>
      <c r="G193" s="119" t="b">
        <v>0</v>
      </c>
      <c r="H193" s="153"/>
    </row>
    <row r="194" spans="1:8">
      <c r="A194" s="21">
        <v>43318</v>
      </c>
      <c r="B194" s="22">
        <v>27.23</v>
      </c>
      <c r="C194" s="20">
        <v>-1.8385003604902597E-2</v>
      </c>
      <c r="D194" s="118">
        <v>0</v>
      </c>
      <c r="E194" s="118">
        <v>1.2361896937673055E-8</v>
      </c>
      <c r="F194" s="148">
        <v>-1</v>
      </c>
      <c r="G194" s="118" t="b">
        <v>1</v>
      </c>
      <c r="H194" s="153"/>
    </row>
    <row r="195" spans="1:8">
      <c r="A195" s="21">
        <v>43319</v>
      </c>
      <c r="B195" s="22">
        <v>28.02</v>
      </c>
      <c r="C195" s="20">
        <v>2.9012118986412015E-2</v>
      </c>
      <c r="D195" s="118">
        <v>1</v>
      </c>
      <c r="E195" s="118">
        <v>1.1092103861274484E-8</v>
      </c>
      <c r="F195" s="148">
        <v>-1</v>
      </c>
      <c r="G195" s="119" t="b">
        <v>0</v>
      </c>
      <c r="H195" s="153"/>
    </row>
    <row r="196" spans="1:8">
      <c r="A196" s="21">
        <v>43320</v>
      </c>
      <c r="B196" s="22">
        <v>27.585000000000001</v>
      </c>
      <c r="C196" s="20">
        <v>-1.5524625267665907E-2</v>
      </c>
      <c r="D196" s="118">
        <v>0</v>
      </c>
      <c r="E196" s="118">
        <v>9.9526634401686467E-9</v>
      </c>
      <c r="F196" s="148">
        <v>-1</v>
      </c>
      <c r="G196" s="118" t="b">
        <v>1</v>
      </c>
      <c r="H196" s="153"/>
    </row>
    <row r="197" spans="1:8">
      <c r="A197" s="21">
        <v>43321</v>
      </c>
      <c r="B197" s="22">
        <v>27.465</v>
      </c>
      <c r="C197" s="20">
        <v>-4.3501903208265722E-3</v>
      </c>
      <c r="D197" s="118">
        <v>0</v>
      </c>
      <c r="E197" s="118">
        <v>8.930203373137058E-9</v>
      </c>
      <c r="F197" s="148">
        <v>-1</v>
      </c>
      <c r="G197" s="118" t="b">
        <v>1</v>
      </c>
      <c r="H197" s="153"/>
    </row>
    <row r="198" spans="1:8">
      <c r="A198" s="21">
        <v>43322</v>
      </c>
      <c r="B198" s="22">
        <v>26.68</v>
      </c>
      <c r="C198" s="20">
        <v>-2.8581831421809582E-2</v>
      </c>
      <c r="D198" s="118">
        <v>0</v>
      </c>
      <c r="E198" s="118">
        <v>8.0127220633511519E-9</v>
      </c>
      <c r="F198" s="148">
        <v>-1</v>
      </c>
      <c r="G198" s="118" t="b">
        <v>1</v>
      </c>
      <c r="H198" s="153"/>
    </row>
    <row r="199" spans="1:8">
      <c r="A199" s="21">
        <v>43325</v>
      </c>
      <c r="B199" s="22">
        <v>26.285</v>
      </c>
      <c r="C199" s="20">
        <v>-1.4805097451274347E-2</v>
      </c>
      <c r="D199" s="118">
        <v>0</v>
      </c>
      <c r="E199" s="118">
        <v>7.1894482482964055E-9</v>
      </c>
      <c r="F199" s="148">
        <v>-1</v>
      </c>
      <c r="G199" s="118" t="b">
        <v>1</v>
      </c>
      <c r="H199" s="153"/>
    </row>
    <row r="200" spans="1:8">
      <c r="A200" s="21">
        <v>43326</v>
      </c>
      <c r="B200" s="22">
        <v>26.15</v>
      </c>
      <c r="C200" s="20">
        <v>-5.1360091306829588E-3</v>
      </c>
      <c r="D200" s="118">
        <v>0</v>
      </c>
      <c r="E200" s="118">
        <v>6.4507149887850384E-9</v>
      </c>
      <c r="F200" s="148">
        <v>-1</v>
      </c>
      <c r="G200" s="118" t="b">
        <v>1</v>
      </c>
      <c r="H200" s="153"/>
    </row>
    <row r="201" spans="1:8">
      <c r="A201" s="21">
        <v>43327</v>
      </c>
      <c r="B201" s="22">
        <v>24.905000000000001</v>
      </c>
      <c r="C201" s="20">
        <v>-4.7609942638623233E-2</v>
      </c>
      <c r="D201" s="118">
        <v>0</v>
      </c>
      <c r="E201" s="118">
        <v>5.787846550116353E-9</v>
      </c>
      <c r="F201" s="148">
        <v>-1</v>
      </c>
      <c r="G201" s="118" t="b">
        <v>1</v>
      </c>
      <c r="H201" s="153"/>
    </row>
    <row r="202" spans="1:8">
      <c r="A202" s="21">
        <v>43328</v>
      </c>
      <c r="B202" s="22">
        <v>25.184999999999999</v>
      </c>
      <c r="C202" s="20">
        <v>1.1242722344910564E-2</v>
      </c>
      <c r="D202" s="118">
        <v>1</v>
      </c>
      <c r="E202" s="118">
        <v>5.1930568580756424E-9</v>
      </c>
      <c r="F202" s="148">
        <v>-1</v>
      </c>
      <c r="G202" s="119" t="b">
        <v>0</v>
      </c>
      <c r="H202" s="153"/>
    </row>
    <row r="203" spans="1:8">
      <c r="A203" s="21">
        <v>43329</v>
      </c>
      <c r="B203" s="22">
        <v>25.004999999999999</v>
      </c>
      <c r="C203" s="20">
        <v>-7.1471113758189292E-3</v>
      </c>
      <c r="D203" s="118">
        <v>0</v>
      </c>
      <c r="E203" s="118">
        <v>4.6593583468593836E-9</v>
      </c>
      <c r="F203" s="148">
        <v>-1</v>
      </c>
      <c r="G203" s="118" t="b">
        <v>1</v>
      </c>
      <c r="H203" s="153"/>
    </row>
    <row r="204" spans="1:8">
      <c r="A204" s="21">
        <v>43332</v>
      </c>
      <c r="B204" s="22">
        <v>25.635000000000002</v>
      </c>
      <c r="C204" s="20">
        <v>2.5194961007798545E-2</v>
      </c>
      <c r="D204" s="118">
        <v>1</v>
      </c>
      <c r="E204" s="118">
        <v>4.1804801367239663E-9</v>
      </c>
      <c r="F204" s="148">
        <v>-1</v>
      </c>
      <c r="G204" s="119" t="b">
        <v>0</v>
      </c>
      <c r="H204" s="153"/>
    </row>
    <row r="205" spans="1:8">
      <c r="A205" s="21">
        <v>43333</v>
      </c>
      <c r="B205" s="22">
        <v>25.94</v>
      </c>
      <c r="C205" s="20">
        <v>1.1897795982055771E-2</v>
      </c>
      <c r="D205" s="118">
        <v>1</v>
      </c>
      <c r="E205" s="118">
        <v>3.7507945875701082E-9</v>
      </c>
      <c r="F205" s="148">
        <v>-1</v>
      </c>
      <c r="G205" s="119" t="b">
        <v>0</v>
      </c>
      <c r="H205" s="153"/>
    </row>
    <row r="206" spans="1:8">
      <c r="A206" s="21">
        <v>43334</v>
      </c>
      <c r="B206" s="22">
        <v>25.96</v>
      </c>
      <c r="C206" s="20">
        <v>7.7101002313028418E-4</v>
      </c>
      <c r="D206" s="118">
        <v>1</v>
      </c>
      <c r="E206" s="118">
        <v>3.3652513720431053E-9</v>
      </c>
      <c r="F206" s="148">
        <v>-1</v>
      </c>
      <c r="G206" s="119" t="b">
        <v>0</v>
      </c>
      <c r="H206" s="153"/>
    </row>
    <row r="207" spans="1:8">
      <c r="A207" s="21">
        <v>43335</v>
      </c>
      <c r="B207" s="22">
        <v>25.574999999999999</v>
      </c>
      <c r="C207" s="20">
        <v>-1.4830508474576331E-2</v>
      </c>
      <c r="D207" s="118">
        <v>0</v>
      </c>
      <c r="E207" s="118">
        <v>3.019318299174447E-9</v>
      </c>
      <c r="F207" s="148">
        <v>-1</v>
      </c>
      <c r="G207" s="118" t="b">
        <v>1</v>
      </c>
      <c r="H207" s="153"/>
    </row>
    <row r="208" spans="1:8">
      <c r="A208" s="21">
        <v>43336</v>
      </c>
      <c r="B208" s="22">
        <v>26.184999999999999</v>
      </c>
      <c r="C208" s="20">
        <v>2.3851417399804474E-2</v>
      </c>
      <c r="D208" s="118">
        <v>1</v>
      </c>
      <c r="E208" s="118">
        <v>2.7089281981220112E-9</v>
      </c>
      <c r="F208" s="148">
        <v>-1</v>
      </c>
      <c r="G208" s="119" t="b">
        <v>0</v>
      </c>
      <c r="H208" s="153"/>
    </row>
    <row r="209" spans="1:8">
      <c r="A209" s="21">
        <v>43339</v>
      </c>
      <c r="B209" s="22">
        <v>26.3</v>
      </c>
      <c r="C209" s="20">
        <v>4.3918273820890584E-3</v>
      </c>
      <c r="D209" s="118">
        <v>1</v>
      </c>
      <c r="E209" s="118">
        <v>2.430431242090165E-9</v>
      </c>
      <c r="F209" s="148">
        <v>-1</v>
      </c>
      <c r="G209" s="119" t="b">
        <v>0</v>
      </c>
      <c r="H209" s="153"/>
    </row>
    <row r="210" spans="1:8">
      <c r="A210" s="21">
        <v>43340</v>
      </c>
      <c r="B210" s="22">
        <v>26.524999999999999</v>
      </c>
      <c r="C210" s="20">
        <v>8.5551330798478275E-3</v>
      </c>
      <c r="D210" s="118">
        <v>1</v>
      </c>
      <c r="E210" s="118">
        <v>2.1805521558438145E-9</v>
      </c>
      <c r="F210" s="148">
        <v>-1</v>
      </c>
      <c r="G210" s="119" t="b">
        <v>0</v>
      </c>
      <c r="H210" s="153"/>
    </row>
    <row r="211" spans="1:8">
      <c r="A211" s="21">
        <v>43341</v>
      </c>
      <c r="B211" s="22">
        <v>26.555</v>
      </c>
      <c r="C211" s="20">
        <v>1.1310084825636622E-3</v>
      </c>
      <c r="D211" s="118">
        <v>1</v>
      </c>
      <c r="E211" s="118">
        <v>1.9563518071023782E-9</v>
      </c>
      <c r="F211" s="148">
        <v>-1</v>
      </c>
      <c r="G211" s="119" t="b">
        <v>0</v>
      </c>
      <c r="H211" s="153"/>
    </row>
    <row r="212" spans="1:8">
      <c r="A212" s="21">
        <v>43342</v>
      </c>
      <c r="B212" s="22">
        <v>26.204999999999998</v>
      </c>
      <c r="C212" s="20">
        <v>-1.318019205422713E-2</v>
      </c>
      <c r="D212" s="118">
        <v>0</v>
      </c>
      <c r="E212" s="118">
        <v>1.7551927331692563E-9</v>
      </c>
      <c r="F212" s="148">
        <v>-1</v>
      </c>
      <c r="G212" s="118" t="b">
        <v>1</v>
      </c>
      <c r="H212" s="153"/>
    </row>
    <row r="213" spans="1:8">
      <c r="A213" s="21">
        <v>43343</v>
      </c>
      <c r="B213" s="22">
        <v>25.94</v>
      </c>
      <c r="C213" s="20">
        <v>-1.0112573936271591E-2</v>
      </c>
      <c r="D213" s="118">
        <v>0</v>
      </c>
      <c r="E213" s="118">
        <v>1.5747082000109743E-9</v>
      </c>
      <c r="F213" s="148">
        <v>-1</v>
      </c>
      <c r="G213" s="118" t="b">
        <v>1</v>
      </c>
      <c r="H213" s="153"/>
    </row>
    <row r="214" spans="1:8">
      <c r="A214" s="21">
        <v>43346</v>
      </c>
      <c r="B214" s="22">
        <v>25.93</v>
      </c>
      <c r="C214" s="20">
        <v>-3.8550501156521061E-4</v>
      </c>
      <c r="D214" s="118">
        <v>0</v>
      </c>
      <c r="E214" s="118">
        <v>1.4127744321774121E-9</v>
      </c>
      <c r="F214" s="148">
        <v>-1</v>
      </c>
      <c r="G214" s="118" t="b">
        <v>1</v>
      </c>
      <c r="H214" s="153"/>
    </row>
    <row r="215" spans="1:8">
      <c r="A215" s="21">
        <v>43347</v>
      </c>
      <c r="B215" s="22">
        <v>25.344999999999999</v>
      </c>
      <c r="C215" s="20">
        <v>-2.2560740455071379E-2</v>
      </c>
      <c r="D215" s="118">
        <v>0</v>
      </c>
      <c r="E215" s="118">
        <v>1.267485688928696E-9</v>
      </c>
      <c r="F215" s="148">
        <v>-1</v>
      </c>
      <c r="G215" s="118" t="b">
        <v>1</v>
      </c>
      <c r="H215" s="153"/>
    </row>
    <row r="216" spans="1:8">
      <c r="A216" s="21">
        <v>43348</v>
      </c>
      <c r="B216" s="22">
        <v>24.84</v>
      </c>
      <c r="C216" s="20">
        <v>-1.9925034523574633E-2</v>
      </c>
      <c r="D216" s="118">
        <v>0</v>
      </c>
      <c r="E216" s="118">
        <v>1.137131895132717E-9</v>
      </c>
      <c r="F216" s="148">
        <v>-1</v>
      </c>
      <c r="G216" s="118" t="b">
        <v>1</v>
      </c>
      <c r="H216" s="153"/>
    </row>
    <row r="217" spans="1:8">
      <c r="A217" s="21">
        <v>43349</v>
      </c>
      <c r="B217" s="22">
        <v>24.715</v>
      </c>
      <c r="C217" s="20">
        <v>-5.0322061191626407E-3</v>
      </c>
      <c r="D217" s="118">
        <v>0</v>
      </c>
      <c r="E217" s="118">
        <v>1.0201785653055229E-9</v>
      </c>
      <c r="F217" s="148">
        <v>-1</v>
      </c>
      <c r="G217" s="118" t="b">
        <v>1</v>
      </c>
      <c r="H217" s="153"/>
    </row>
    <row r="218" spans="1:8">
      <c r="A218" s="21">
        <v>43350</v>
      </c>
      <c r="B218" s="22">
        <v>24.86</v>
      </c>
      <c r="C218" s="20">
        <v>5.8668824600444898E-3</v>
      </c>
      <c r="D218" s="118">
        <v>1</v>
      </c>
      <c r="E218" s="118">
        <v>9.1524878593015921E-10</v>
      </c>
      <c r="F218" s="148">
        <v>-1</v>
      </c>
      <c r="G218" s="119" t="b">
        <v>0</v>
      </c>
      <c r="H218" s="153"/>
    </row>
    <row r="219" spans="1:8">
      <c r="A219" s="21">
        <v>43353</v>
      </c>
      <c r="B219" s="22">
        <v>25.02</v>
      </c>
      <c r="C219" s="20">
        <v>6.4360418342719284E-3</v>
      </c>
      <c r="D219" s="118">
        <v>1</v>
      </c>
      <c r="E219" s="118">
        <v>8.2110704521867961E-10</v>
      </c>
      <c r="F219" s="148">
        <v>-1</v>
      </c>
      <c r="G219" s="119" t="b">
        <v>0</v>
      </c>
      <c r="H219" s="153"/>
    </row>
    <row r="220" spans="1:8">
      <c r="A220" s="21">
        <v>43354</v>
      </c>
      <c r="B220" s="22">
        <v>24.524999999999999</v>
      </c>
      <c r="C220" s="20">
        <v>-1.9784172661870544E-2</v>
      </c>
      <c r="D220" s="118">
        <v>0</v>
      </c>
      <c r="E220" s="118">
        <v>7.3664472105589583E-10</v>
      </c>
      <c r="F220" s="148">
        <v>-1</v>
      </c>
      <c r="G220" s="118" t="b">
        <v>1</v>
      </c>
      <c r="H220" s="153"/>
    </row>
    <row r="221" spans="1:8">
      <c r="A221" s="21">
        <v>43355</v>
      </c>
      <c r="B221" s="22">
        <v>25.17</v>
      </c>
      <c r="C221" s="20">
        <v>2.6299694189602575E-2</v>
      </c>
      <c r="D221" s="118">
        <v>1</v>
      </c>
      <c r="E221" s="118">
        <v>6.6086705723237749E-10</v>
      </c>
      <c r="F221" s="148">
        <v>-1</v>
      </c>
      <c r="G221" s="119" t="b">
        <v>0</v>
      </c>
      <c r="H221" s="153"/>
    </row>
    <row r="222" spans="1:8">
      <c r="A222" s="21">
        <v>43356</v>
      </c>
      <c r="B222" s="22">
        <v>24.734999999999999</v>
      </c>
      <c r="C222" s="20">
        <v>-1.7282479141835609E-2</v>
      </c>
      <c r="D222" s="118">
        <v>0</v>
      </c>
      <c r="E222" s="118">
        <v>5.9288147546343733E-10</v>
      </c>
      <c r="F222" s="148">
        <v>-1</v>
      </c>
      <c r="G222" s="118" t="b">
        <v>1</v>
      </c>
      <c r="H222" s="153"/>
    </row>
    <row r="223" spans="1:8">
      <c r="A223" s="21">
        <v>43357</v>
      </c>
      <c r="B223" s="22">
        <v>25.12</v>
      </c>
      <c r="C223" s="20">
        <v>1.5564988882150863E-2</v>
      </c>
      <c r="D223" s="118">
        <v>1</v>
      </c>
      <c r="E223" s="118">
        <v>5.3188708630227909E-10</v>
      </c>
      <c r="F223" s="148">
        <v>-1</v>
      </c>
      <c r="G223" s="119" t="b">
        <v>0</v>
      </c>
      <c r="H223" s="153"/>
    </row>
    <row r="224" spans="1:8">
      <c r="A224" s="21">
        <v>43360</v>
      </c>
      <c r="B224" s="22">
        <v>25.63</v>
      </c>
      <c r="C224" s="20">
        <v>2.0302547770700556E-2</v>
      </c>
      <c r="D224" s="118">
        <v>1</v>
      </c>
      <c r="E224" s="118">
        <v>4.7716527607058105E-10</v>
      </c>
      <c r="F224" s="148">
        <v>-1</v>
      </c>
      <c r="G224" s="119" t="b">
        <v>0</v>
      </c>
      <c r="H224" s="153"/>
    </row>
    <row r="225" spans="1:8">
      <c r="A225" s="21">
        <v>43361</v>
      </c>
      <c r="B225" s="22">
        <v>25.93</v>
      </c>
      <c r="C225" s="20">
        <v>1.1705033164260661E-2</v>
      </c>
      <c r="D225" s="118">
        <v>1</v>
      </c>
      <c r="E225" s="118">
        <v>4.2807125951180827E-10</v>
      </c>
      <c r="F225" s="148">
        <v>-1</v>
      </c>
      <c r="G225" s="119" t="b">
        <v>0</v>
      </c>
      <c r="H225" s="153"/>
    </row>
    <row r="226" spans="1:8">
      <c r="A226" s="21">
        <v>43362</v>
      </c>
      <c r="B226" s="22">
        <v>26.95</v>
      </c>
      <c r="C226" s="20">
        <v>3.9336675665252584E-2</v>
      </c>
      <c r="D226" s="118">
        <v>1</v>
      </c>
      <c r="E226" s="118">
        <v>3.8402649916749709E-10</v>
      </c>
      <c r="F226" s="148">
        <v>-1</v>
      </c>
      <c r="G226" s="119" t="b">
        <v>0</v>
      </c>
      <c r="H226" s="153"/>
    </row>
    <row r="227" spans="1:8">
      <c r="A227" s="21">
        <v>43363</v>
      </c>
      <c r="B227" s="22">
        <v>27.37</v>
      </c>
      <c r="C227" s="20">
        <v>1.5584415584415649E-2</v>
      </c>
      <c r="D227" s="118">
        <v>1</v>
      </c>
      <c r="E227" s="118">
        <v>3.4451190261636439E-10</v>
      </c>
      <c r="F227" s="148">
        <v>-1</v>
      </c>
      <c r="G227" s="119" t="b">
        <v>0</v>
      </c>
      <c r="H227" s="153"/>
    </row>
    <row r="228" spans="1:8">
      <c r="A228" s="21">
        <v>43364</v>
      </c>
      <c r="B228" s="22">
        <v>27.52</v>
      </c>
      <c r="C228" s="20">
        <v>5.4804530507854797E-3</v>
      </c>
      <c r="D228" s="118">
        <v>1</v>
      </c>
      <c r="E228" s="118">
        <v>3.0906171781829953E-10</v>
      </c>
      <c r="F228" s="148">
        <v>-1</v>
      </c>
      <c r="G228" s="119" t="b">
        <v>0</v>
      </c>
      <c r="H228" s="153"/>
    </row>
    <row r="229" spans="1:8">
      <c r="A229" s="21">
        <v>43367</v>
      </c>
      <c r="B229" s="22">
        <v>27.274999999999999</v>
      </c>
      <c r="C229" s="20">
        <v>-8.9026162790698041E-3</v>
      </c>
      <c r="D229" s="118">
        <v>0</v>
      </c>
      <c r="E229" s="118">
        <v>2.7725805497608523E-10</v>
      </c>
      <c r="F229" s="148">
        <v>-1</v>
      </c>
      <c r="G229" s="118" t="b">
        <v>1</v>
      </c>
      <c r="H229" s="153"/>
    </row>
    <row r="230" spans="1:8">
      <c r="A230" s="21">
        <v>43368</v>
      </c>
      <c r="B230" s="22">
        <v>27.715</v>
      </c>
      <c r="C230" s="20">
        <v>1.6131989000916638E-2</v>
      </c>
      <c r="D230" s="118">
        <v>1</v>
      </c>
      <c r="E230" s="118">
        <v>2.4872597066231474E-10</v>
      </c>
      <c r="F230" s="148">
        <v>-1</v>
      </c>
      <c r="G230" s="119" t="b">
        <v>0</v>
      </c>
      <c r="H230" s="153"/>
    </row>
    <row r="231" spans="1:8">
      <c r="A231" s="21">
        <v>43369</v>
      </c>
      <c r="B231" s="22">
        <v>27.32</v>
      </c>
      <c r="C231" s="20">
        <v>-1.4252209994587752E-2</v>
      </c>
      <c r="D231" s="118">
        <v>0</v>
      </c>
      <c r="E231" s="118">
        <v>2.2312905654282945E-10</v>
      </c>
      <c r="F231" s="148">
        <v>-1</v>
      </c>
      <c r="G231" s="118" t="b">
        <v>1</v>
      </c>
      <c r="H231" s="153"/>
    </row>
    <row r="232" spans="1:8">
      <c r="A232" s="21">
        <v>43370</v>
      </c>
      <c r="B232" s="22">
        <v>27.04</v>
      </c>
      <c r="C232" s="20">
        <v>-1.0248901903367538E-2</v>
      </c>
      <c r="D232" s="118">
        <v>0</v>
      </c>
      <c r="E232" s="118">
        <v>2.0016548093791176E-10</v>
      </c>
      <c r="F232" s="148">
        <v>-1</v>
      </c>
      <c r="G232" s="118" t="b">
        <v>1</v>
      </c>
      <c r="H232" s="153"/>
    </row>
    <row r="233" spans="1:8">
      <c r="A233" s="21">
        <v>43371</v>
      </c>
      <c r="B233" s="22">
        <v>26.8</v>
      </c>
      <c r="C233" s="20">
        <v>-8.8757396449703572E-3</v>
      </c>
      <c r="D233" s="118">
        <v>0</v>
      </c>
      <c r="E233" s="118">
        <v>1.7956443676729643E-10</v>
      </c>
      <c r="F233" s="148">
        <v>-1</v>
      </c>
      <c r="G233" s="118" t="b">
        <v>1</v>
      </c>
      <c r="H233" s="153"/>
    </row>
    <row r="234" spans="1:8">
      <c r="A234" s="21">
        <v>43374</v>
      </c>
      <c r="B234" s="22">
        <v>26.605</v>
      </c>
      <c r="C234" s="20">
        <v>-7.2761194029850847E-3</v>
      </c>
      <c r="D234" s="118">
        <v>0</v>
      </c>
      <c r="E234" s="118">
        <v>1.6108295418670848E-10</v>
      </c>
      <c r="F234" s="148">
        <v>-1</v>
      </c>
      <c r="G234" s="118" t="b">
        <v>1</v>
      </c>
      <c r="H234" s="153"/>
    </row>
    <row r="235" spans="1:8">
      <c r="A235" s="21">
        <v>43375</v>
      </c>
      <c r="B235" s="22">
        <v>26.66</v>
      </c>
      <c r="C235" s="20">
        <v>2.0672805863559372E-3</v>
      </c>
      <c r="D235" s="118">
        <v>1</v>
      </c>
      <c r="E235" s="118">
        <v>1.4450304049765444E-10</v>
      </c>
      <c r="F235" s="148">
        <v>-1</v>
      </c>
      <c r="G235" s="119" t="b">
        <v>0</v>
      </c>
      <c r="H235" s="153"/>
    </row>
    <row r="236" spans="1:8">
      <c r="A236" s="21">
        <v>43376</v>
      </c>
      <c r="B236" s="22">
        <v>27.05</v>
      </c>
      <c r="C236" s="20">
        <v>1.4628657164291094E-2</v>
      </c>
      <c r="D236" s="118">
        <v>1</v>
      </c>
      <c r="E236" s="118">
        <v>1.2962911374847163E-10</v>
      </c>
      <c r="F236" s="148">
        <v>-1</v>
      </c>
      <c r="G236" s="119" t="b">
        <v>0</v>
      </c>
      <c r="H236" s="153"/>
    </row>
    <row r="237" spans="1:8">
      <c r="A237" s="21">
        <v>43377</v>
      </c>
      <c r="B237" s="22">
        <v>26.85</v>
      </c>
      <c r="C237" s="20">
        <v>-7.3937153419593084E-3</v>
      </c>
      <c r="D237" s="118">
        <v>0</v>
      </c>
      <c r="E237" s="118">
        <v>1.1628569988792499E-10</v>
      </c>
      <c r="F237" s="148">
        <v>-1</v>
      </c>
      <c r="G237" s="118" t="b">
        <v>1</v>
      </c>
      <c r="H237" s="153"/>
    </row>
    <row r="238" spans="1:8">
      <c r="A238" s="21">
        <v>43378</v>
      </c>
      <c r="B238" s="22">
        <v>25.815000000000001</v>
      </c>
      <c r="C238" s="20">
        <v>-3.8547486033519554E-2</v>
      </c>
      <c r="D238" s="118">
        <v>0</v>
      </c>
      <c r="E238" s="118">
        <v>1.0431536642323976E-10</v>
      </c>
      <c r="F238" s="148">
        <v>-1</v>
      </c>
      <c r="G238" s="118" t="b">
        <v>1</v>
      </c>
      <c r="H238" s="153"/>
    </row>
    <row r="239" spans="1:8">
      <c r="A239" s="21">
        <v>43381</v>
      </c>
      <c r="B239" s="22">
        <v>25.56</v>
      </c>
      <c r="C239" s="20">
        <v>-9.8779779198141602E-3</v>
      </c>
      <c r="D239" s="118">
        <v>0</v>
      </c>
      <c r="E239" s="118">
        <v>9.3576868308342976E-11</v>
      </c>
      <c r="F239" s="148">
        <v>-1</v>
      </c>
      <c r="G239" s="118" t="b">
        <v>1</v>
      </c>
      <c r="H239" s="153"/>
    </row>
    <row r="240" spans="1:8">
      <c r="A240" s="21">
        <v>43382</v>
      </c>
      <c r="B240" s="22">
        <v>26</v>
      </c>
      <c r="C240" s="20">
        <v>1.7214397496087688E-2</v>
      </c>
      <c r="D240" s="118">
        <v>1</v>
      </c>
      <c r="E240" s="118">
        <v>8.3943484277763041E-11</v>
      </c>
      <c r="F240" s="148">
        <v>-1</v>
      </c>
      <c r="G240" s="119" t="b">
        <v>0</v>
      </c>
      <c r="H240" s="153"/>
    </row>
    <row r="241" spans="1:8">
      <c r="A241" s="21">
        <v>43383</v>
      </c>
      <c r="B241" s="22">
        <v>24.76</v>
      </c>
      <c r="C241" s="20">
        <v>-4.7692307692307631E-2</v>
      </c>
      <c r="D241" s="118">
        <v>0</v>
      </c>
      <c r="E241" s="118">
        <v>7.5301524076180066E-11</v>
      </c>
      <c r="F241" s="148">
        <v>-1</v>
      </c>
      <c r="G241" s="118" t="b">
        <v>1</v>
      </c>
      <c r="H241" s="153"/>
    </row>
    <row r="242" spans="1:8">
      <c r="A242" s="21">
        <v>43384</v>
      </c>
      <c r="B242" s="22">
        <v>24.2</v>
      </c>
      <c r="C242" s="20">
        <v>-2.2617124394184257E-2</v>
      </c>
      <c r="D242" s="118">
        <v>0</v>
      </c>
      <c r="E242" s="118">
        <v>6.7548989039118114E-11</v>
      </c>
      <c r="F242" s="148">
        <v>-1</v>
      </c>
      <c r="G242" s="118" t="b">
        <v>1</v>
      </c>
      <c r="H242" s="153"/>
    </row>
    <row r="243" spans="1:8">
      <c r="A243" s="21">
        <v>43385</v>
      </c>
      <c r="B243" s="22">
        <v>24.61</v>
      </c>
      <c r="C243" s="20">
        <v>1.6942148760330584E-2</v>
      </c>
      <c r="D243" s="118">
        <v>1</v>
      </c>
      <c r="E243" s="118">
        <v>6.0594370280224115E-11</v>
      </c>
      <c r="F243" s="148">
        <v>-1</v>
      </c>
      <c r="G243" s="119" t="b">
        <v>0</v>
      </c>
      <c r="H243" s="153"/>
    </row>
    <row r="244" spans="1:8">
      <c r="A244" s="21">
        <v>43388</v>
      </c>
      <c r="B244" s="22">
        <v>24.54</v>
      </c>
      <c r="C244" s="20">
        <v>-2.8443722064201661E-3</v>
      </c>
      <c r="D244" s="118">
        <v>0</v>
      </c>
      <c r="E244" s="118">
        <v>5.4355570355988132E-11</v>
      </c>
      <c r="F244" s="148">
        <v>-1</v>
      </c>
      <c r="G244" s="118" t="b">
        <v>1</v>
      </c>
      <c r="H244" s="153"/>
    </row>
    <row r="245" spans="1:8">
      <c r="A245" s="21">
        <v>43389</v>
      </c>
      <c r="B245" s="22">
        <v>24.8</v>
      </c>
      <c r="C245" s="20">
        <v>1.0594947025264938E-2</v>
      </c>
      <c r="D245" s="118">
        <v>1</v>
      </c>
      <c r="E245" s="118">
        <v>4.8758935728580503E-11</v>
      </c>
      <c r="F245" s="148">
        <v>-1</v>
      </c>
      <c r="G245" s="119" t="b">
        <v>0</v>
      </c>
      <c r="H245" s="153"/>
    </row>
    <row r="246" spans="1:8">
      <c r="A246" s="21">
        <v>43390</v>
      </c>
      <c r="B246" s="22">
        <v>24.805</v>
      </c>
      <c r="C246" s="20">
        <v>2.0161290322576634E-4</v>
      </c>
      <c r="D246" s="118">
        <v>1</v>
      </c>
      <c r="E246" s="118">
        <v>4.373838864861945E-11</v>
      </c>
      <c r="F246" s="148">
        <v>-1</v>
      </c>
      <c r="G246" s="119" t="b">
        <v>0</v>
      </c>
      <c r="H246" s="153"/>
    </row>
    <row r="247" spans="1:8">
      <c r="A247" s="21">
        <v>43391</v>
      </c>
      <c r="B247" s="22">
        <v>24.73</v>
      </c>
      <c r="C247" s="20">
        <v>-3.0235839548477844E-3</v>
      </c>
      <c r="D247" s="118">
        <v>0</v>
      </c>
      <c r="E247" s="118">
        <v>3.9234648247418256E-11</v>
      </c>
      <c r="F247" s="148">
        <v>-1</v>
      </c>
      <c r="G247" s="118" t="b">
        <v>1</v>
      </c>
      <c r="H247" s="153"/>
    </row>
    <row r="248" spans="1:8">
      <c r="A248" s="21">
        <v>43392</v>
      </c>
      <c r="B248" s="22">
        <v>23.754999999999999</v>
      </c>
      <c r="C248" s="20">
        <v>-3.9425798625151692E-2</v>
      </c>
      <c r="D248" s="118">
        <v>0</v>
      </c>
      <c r="E248" s="118">
        <v>3.5194531676219403E-11</v>
      </c>
      <c r="F248" s="148">
        <v>-1</v>
      </c>
      <c r="G248" s="118" t="b">
        <v>1</v>
      </c>
      <c r="H248" s="153"/>
    </row>
    <row r="249" spans="1:8">
      <c r="A249" s="21">
        <v>43395</v>
      </c>
      <c r="B249" s="22">
        <v>23.57</v>
      </c>
      <c r="C249" s="20">
        <v>-7.787834140180961E-3</v>
      </c>
      <c r="D249" s="118">
        <v>0</v>
      </c>
      <c r="E249" s="118">
        <v>3.1570327070421203E-11</v>
      </c>
      <c r="F249" s="148">
        <v>-1</v>
      </c>
      <c r="G249" s="118" t="b">
        <v>1</v>
      </c>
      <c r="H249" s="153"/>
    </row>
    <row r="250" spans="1:8">
      <c r="A250" s="21">
        <v>43396</v>
      </c>
      <c r="B250" s="22">
        <v>22.975000000000001</v>
      </c>
      <c r="C250" s="20">
        <v>-2.5243954179041104E-2</v>
      </c>
      <c r="D250" s="118">
        <v>0</v>
      </c>
      <c r="E250" s="118">
        <v>2.8319230960812778E-11</v>
      </c>
      <c r="F250" s="148">
        <v>-1</v>
      </c>
      <c r="G250" s="118" t="b">
        <v>1</v>
      </c>
      <c r="H250" s="153"/>
    </row>
    <row r="251" spans="1:8">
      <c r="A251" s="21">
        <v>43397</v>
      </c>
      <c r="B251" s="22">
        <v>21.635000000000002</v>
      </c>
      <c r="C251" s="20">
        <v>-5.8324265505984754E-2</v>
      </c>
      <c r="D251" s="118">
        <v>0</v>
      </c>
      <c r="E251" s="118">
        <v>2.5402843511264433E-11</v>
      </c>
      <c r="F251" s="148">
        <v>-1</v>
      </c>
      <c r="G251" s="118" t="b">
        <v>1</v>
      </c>
      <c r="H251" s="153"/>
    </row>
    <row r="252" spans="1:8">
      <c r="A252" s="21">
        <v>43398</v>
      </c>
      <c r="B252" s="22">
        <v>22.055</v>
      </c>
      <c r="C252" s="20">
        <v>1.9412988213542783E-2</v>
      </c>
      <c r="D252" s="118">
        <v>1</v>
      </c>
      <c r="E252" s="118">
        <v>2.278671564205754E-11</v>
      </c>
      <c r="F252" s="148">
        <v>-1</v>
      </c>
      <c r="G252" s="119" t="b">
        <v>0</v>
      </c>
      <c r="H252" s="153"/>
    </row>
    <row r="253" spans="1:8">
      <c r="A253" s="21">
        <v>43399</v>
      </c>
      <c r="B253" s="22">
        <v>21.285</v>
      </c>
      <c r="C253" s="20">
        <v>-3.4912718204488762E-2</v>
      </c>
      <c r="D253" s="118">
        <v>0</v>
      </c>
      <c r="E253" s="118">
        <v>2.0439942708019195E-11</v>
      </c>
      <c r="F253" s="148">
        <v>-1</v>
      </c>
      <c r="G253" s="118" t="b">
        <v>1</v>
      </c>
      <c r="H253" s="153"/>
    </row>
    <row r="254" spans="1:8">
      <c r="A254" s="21">
        <v>43402</v>
      </c>
      <c r="B254" s="22">
        <v>22.12</v>
      </c>
      <c r="C254" s="20">
        <v>3.9229504345783456E-2</v>
      </c>
      <c r="D254" s="118">
        <v>1</v>
      </c>
      <c r="E254" s="118">
        <v>1.8334799948019674E-11</v>
      </c>
      <c r="F254" s="148">
        <v>-1</v>
      </c>
      <c r="G254" s="119" t="b">
        <v>0</v>
      </c>
      <c r="H254" s="153"/>
    </row>
    <row r="255" spans="1:8">
      <c r="A255" s="21">
        <v>43403</v>
      </c>
      <c r="B255" s="22">
        <v>21.545000000000002</v>
      </c>
      <c r="C255" s="20">
        <v>-2.5994575045207923E-2</v>
      </c>
      <c r="D255" s="118">
        <v>0</v>
      </c>
      <c r="E255" s="118">
        <v>1.6446415413620589E-11</v>
      </c>
      <c r="F255" s="148">
        <v>-1</v>
      </c>
      <c r="G255" s="118" t="b">
        <v>1</v>
      </c>
      <c r="H255" s="153"/>
    </row>
    <row r="256" spans="1:8">
      <c r="A256" s="21">
        <v>43404</v>
      </c>
      <c r="B256" s="22">
        <v>22.04</v>
      </c>
      <c r="C256" s="20">
        <v>2.2975168252494658E-2</v>
      </c>
      <c r="D256" s="118">
        <v>1</v>
      </c>
      <c r="E256" s="118">
        <v>1.4752476525463804E-11</v>
      </c>
      <c r="F256" s="148">
        <v>-1</v>
      </c>
      <c r="G256" s="119" t="b">
        <v>0</v>
      </c>
      <c r="H256" s="153"/>
    </row>
    <row r="257" spans="1:8">
      <c r="A257" s="21">
        <v>43405</v>
      </c>
      <c r="B257" s="22">
        <v>22.225000000000001</v>
      </c>
      <c r="C257" s="20">
        <v>8.393829401089032E-3</v>
      </c>
      <c r="D257" s="118">
        <v>1</v>
      </c>
      <c r="E257" s="118">
        <v>1.3232966801561096E-11</v>
      </c>
      <c r="F257" s="148">
        <v>-1</v>
      </c>
      <c r="G257" s="119" t="b">
        <v>0</v>
      </c>
      <c r="H257" s="153"/>
    </row>
    <row r="258" spans="1:8">
      <c r="A258" s="21">
        <v>43406</v>
      </c>
      <c r="B258" s="22">
        <v>22.285</v>
      </c>
      <c r="C258" s="20">
        <v>2.6996625421821696E-3</v>
      </c>
      <c r="D258" s="118">
        <v>1</v>
      </c>
      <c r="E258" s="118">
        <v>1.1869929656607121E-11</v>
      </c>
      <c r="F258" s="148">
        <v>-1</v>
      </c>
      <c r="G258" s="119" t="b">
        <v>0</v>
      </c>
      <c r="H258" s="153"/>
    </row>
    <row r="259" spans="1:8">
      <c r="A259" s="21">
        <v>43409</v>
      </c>
      <c r="B259" s="22">
        <v>22.46</v>
      </c>
      <c r="C259" s="20">
        <v>7.8528157953780889E-3</v>
      </c>
      <c r="D259" s="118">
        <v>1</v>
      </c>
      <c r="E259" s="118">
        <v>1.0647256489962205E-11</v>
      </c>
      <c r="F259" s="148">
        <v>-1</v>
      </c>
      <c r="G259" s="119" t="b">
        <v>0</v>
      </c>
      <c r="H259" s="153"/>
    </row>
    <row r="260" spans="1:8">
      <c r="A260" s="21">
        <v>43410</v>
      </c>
      <c r="B260" s="22">
        <v>22.454999999999998</v>
      </c>
      <c r="C260" s="20">
        <v>-2.2261798753350659E-4</v>
      </c>
      <c r="D260" s="118">
        <v>0</v>
      </c>
      <c r="E260" s="118">
        <v>9.5504965657784873E-12</v>
      </c>
      <c r="F260" s="148">
        <v>-1</v>
      </c>
      <c r="G260" s="118" t="b">
        <v>1</v>
      </c>
      <c r="H260" s="153"/>
    </row>
    <row r="261" spans="1:8">
      <c r="A261" s="21">
        <v>43411</v>
      </c>
      <c r="B261" s="22">
        <v>22.66</v>
      </c>
      <c r="C261" s="20">
        <v>9.1293698508128195E-3</v>
      </c>
      <c r="D261" s="118">
        <v>1</v>
      </c>
      <c r="E261" s="118">
        <v>8.5666864452220781E-12</v>
      </c>
      <c r="F261" s="148">
        <v>-1</v>
      </c>
      <c r="G261" s="119" t="b">
        <v>0</v>
      </c>
      <c r="H261" s="153"/>
    </row>
    <row r="262" spans="1:8">
      <c r="A262" s="21">
        <v>43412</v>
      </c>
      <c r="B262" s="22">
        <v>22.8</v>
      </c>
      <c r="C262" s="20">
        <v>6.1782877316858146E-3</v>
      </c>
      <c r="D262" s="118">
        <v>1</v>
      </c>
      <c r="E262" s="118">
        <v>7.6841969608884213E-12</v>
      </c>
      <c r="F262" s="148">
        <v>-1</v>
      </c>
      <c r="G262" s="119" t="b">
        <v>0</v>
      </c>
      <c r="H262" s="153"/>
    </row>
    <row r="263" spans="1:8">
      <c r="A263" s="21">
        <v>43413</v>
      </c>
      <c r="B263" s="22">
        <v>22.26</v>
      </c>
      <c r="C263" s="20">
        <v>-2.3684210526315752E-2</v>
      </c>
      <c r="D263" s="118">
        <v>0</v>
      </c>
      <c r="E263" s="118">
        <v>6.8925959300238483E-12</v>
      </c>
      <c r="F263" s="148">
        <v>-1</v>
      </c>
      <c r="G263" s="118" t="b">
        <v>1</v>
      </c>
      <c r="H263" s="153"/>
    </row>
    <row r="264" spans="1:8">
      <c r="A264" s="21">
        <v>43416</v>
      </c>
      <c r="B264" s="22">
        <v>21.75</v>
      </c>
      <c r="C264" s="20">
        <v>-2.2911051212938075E-2</v>
      </c>
      <c r="D264" s="118">
        <v>0</v>
      </c>
      <c r="E264" s="118">
        <v>6.1825249884679256E-12</v>
      </c>
      <c r="F264" s="148">
        <v>-1</v>
      </c>
      <c r="G264" s="118" t="b">
        <v>1</v>
      </c>
      <c r="H264" s="153"/>
    </row>
    <row r="265" spans="1:8">
      <c r="A265" s="21">
        <v>43417</v>
      </c>
      <c r="B265" s="22">
        <v>21.635000000000002</v>
      </c>
      <c r="C265" s="20">
        <v>-5.2873563218390086E-3</v>
      </c>
      <c r="D265" s="118">
        <v>0</v>
      </c>
      <c r="E265" s="118">
        <v>5.5455890935114631E-12</v>
      </c>
      <c r="F265" s="148">
        <v>-1</v>
      </c>
      <c r="G265" s="118" t="b">
        <v>1</v>
      </c>
      <c r="H265" s="153"/>
    </row>
    <row r="266" spans="1:8">
      <c r="A266" s="21">
        <v>43418</v>
      </c>
      <c r="B266" s="22">
        <v>21.53</v>
      </c>
      <c r="C266" s="20">
        <v>-4.8532470533857366E-3</v>
      </c>
      <c r="D266" s="118">
        <v>0</v>
      </c>
      <c r="E266" s="118">
        <v>4.9742573930585422E-12</v>
      </c>
      <c r="F266" s="148">
        <v>-1</v>
      </c>
      <c r="G266" s="118" t="b">
        <v>1</v>
      </c>
      <c r="H266" s="153"/>
    </row>
    <row r="267" spans="1:8">
      <c r="A267" s="21">
        <v>43419</v>
      </c>
      <c r="B267" s="22">
        <v>21.77</v>
      </c>
      <c r="C267" s="20">
        <v>1.1147236414305546E-2</v>
      </c>
      <c r="D267" s="118">
        <v>1</v>
      </c>
      <c r="E267" s="118">
        <v>4.4617742923565312E-12</v>
      </c>
      <c r="F267" s="148">
        <v>-1</v>
      </c>
      <c r="G267" s="119" t="b">
        <v>0</v>
      </c>
      <c r="H267" s="153"/>
    </row>
    <row r="268" spans="1:8">
      <c r="A268" s="21">
        <v>43420</v>
      </c>
      <c r="B268" s="22">
        <v>21.765000000000001</v>
      </c>
      <c r="C268" s="20">
        <v>-2.2967386311433189E-4</v>
      </c>
      <c r="D268" s="118">
        <v>0</v>
      </c>
      <c r="E268" s="118">
        <v>4.0020796696789273E-12</v>
      </c>
      <c r="F268" s="148">
        <v>-1</v>
      </c>
      <c r="G268" s="118" t="b">
        <v>1</v>
      </c>
      <c r="H268" s="153"/>
    </row>
    <row r="269" spans="1:8">
      <c r="A269" s="21">
        <v>43423</v>
      </c>
      <c r="B269" s="22">
        <v>21.675000000000001</v>
      </c>
      <c r="C269" s="20">
        <v>-4.1350792556857276E-3</v>
      </c>
      <c r="D269" s="118">
        <v>0</v>
      </c>
      <c r="E269" s="118">
        <v>3.5897373001272138E-12</v>
      </c>
      <c r="F269" s="148">
        <v>-1</v>
      </c>
      <c r="G269" s="118" t="b">
        <v>1</v>
      </c>
      <c r="H269" s="153"/>
    </row>
  </sheetData>
  <mergeCells count="20">
    <mergeCell ref="J55:N56"/>
    <mergeCell ref="J46:N48"/>
    <mergeCell ref="J38:N39"/>
    <mergeCell ref="J28:N31"/>
    <mergeCell ref="J15:N16"/>
    <mergeCell ref="J18:N18"/>
    <mergeCell ref="J42:J45"/>
    <mergeCell ref="J49:N49"/>
    <mergeCell ref="J50:N50"/>
    <mergeCell ref="J51:J54"/>
    <mergeCell ref="J32:N32"/>
    <mergeCell ref="J40:N40"/>
    <mergeCell ref="J41:N41"/>
    <mergeCell ref="J33:N33"/>
    <mergeCell ref="L1:O1"/>
    <mergeCell ref="J19:J22"/>
    <mergeCell ref="J24:J27"/>
    <mergeCell ref="J17:N17"/>
    <mergeCell ref="J23:N23"/>
    <mergeCell ref="J14:N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ClearCell_MP">
                <anchor moveWithCells="1" sizeWithCells="1">
                  <from>
                    <xdr:col>11</xdr:col>
                    <xdr:colOff>812800</xdr:colOff>
                    <xdr:row>1</xdr:row>
                    <xdr:rowOff>152400</xdr:rowOff>
                  </from>
                  <to>
                    <xdr:col>13</xdr:col>
                    <xdr:colOff>1041400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locked="0" defaultSize="0" print="0" autoFill="0" autoPict="0" macro="[0]!MultiLayerPerceptron.Main">
                <anchor moveWithCells="1" sizeWithCells="1">
                  <from>
                    <xdr:col>12</xdr:col>
                    <xdr:colOff>25400</xdr:colOff>
                    <xdr:row>6</xdr:row>
                    <xdr:rowOff>139700</xdr:rowOff>
                  </from>
                  <to>
                    <xdr:col>14</xdr:col>
                    <xdr:colOff>12700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ArcelorMittal</vt:lpstr>
      <vt:lpstr>Simple Perceptron</vt:lpstr>
      <vt:lpstr>Multi Perceptron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2018-11-20T16:29:41Z</dcterms:created>
  <dcterms:modified xsi:type="dcterms:W3CDTF">2018-12-27T21:03:23Z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abdcbf53-2c88-4b2d-94e3-8a047af2420f</vt:lpwstr>
  </property>
</Properties>
</file>